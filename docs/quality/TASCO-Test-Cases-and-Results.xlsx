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unctional Test Cases" sheetId="2" state="visible" r:id="rId4"/>
    <sheet name="Test Cases" sheetId="3" state="visible" r:id="rId5"/>
    <sheet name="Automated Run" sheetId="4" state="visible" r:id="rId6"/>
    <sheet name="Read Me" sheetId="5" state="visible" r:id="rId7"/>
  </sheets>
  <definedNames>
    <definedName function="false" hidden="true" localSheetId="3" name="_xlnm._FilterDatabase" vbProcedure="false">'Automated Run'!$A$3:$G$221</definedName>
    <definedName function="false" hidden="true" localSheetId="1" name="_xlnm._FilterDatabase" vbProcedure="false">'Functional Test Cases'!$A$4:$O$128</definedName>
    <definedName function="false" hidden="true" localSheetId="2" name="_xlnm._FilterDatabase" vbProcedure="false">'Test Cases'!$A$4:$O$168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<sst xmlns="http://schemas.openxmlformats.org/spreadsheetml/2006/main" count="5376" uniqueCount="1989">
  <si>
    <t xml:space="preserve">Test execution summary</t>
  </si>
  <si>
    <t xml:space="preserve">Run date 2026-10-07. All figures below are formulas over the "Test Cases" and "Automated Run" sheets.</t>
  </si>
  <si>
    <t xml:space="preserve">Catalogue status</t>
  </si>
  <si>
    <t xml:space="preserve">Count</t>
  </si>
  <si>
    <t xml:space="preserve">% of cases</t>
  </si>
  <si>
    <t xml:space="preserve">Pass</t>
  </si>
  <si>
    <t xml:space="preserve">Fail</t>
  </si>
  <si>
    <t xml:space="preserve">Blocked</t>
  </si>
  <si>
    <t xml:space="preserve">Not Run</t>
  </si>
  <si>
    <t xml:space="preserve">Total test cases</t>
  </si>
  <si>
    <t xml:space="preserve">Pass rate of executed cases</t>
  </si>
  <si>
    <t xml:space="preserve">Automated tests (this run)</t>
  </si>
  <si>
    <t xml:space="preserve">Executed</t>
  </si>
  <si>
    <t xml:space="preserve">Passed</t>
  </si>
  <si>
    <t xml:space="preserve">Failed</t>
  </si>
  <si>
    <t xml:space="preserve">Pass rate</t>
  </si>
  <si>
    <t xml:space="preserve">Unit</t>
  </si>
  <si>
    <t xml:space="preserve">Integration</t>
  </si>
  <si>
    <t xml:space="preserve">API</t>
  </si>
  <si>
    <t xml:space="preserve">Security</t>
  </si>
  <si>
    <t xml:space="preserve">PostgreSQL</t>
  </si>
  <si>
    <t xml:space="preserve">Functional</t>
  </si>
  <si>
    <t xml:space="preserve">Total</t>
  </si>
  <si>
    <t xml:space="preserve">Quality gate</t>
  </si>
  <si>
    <t xml:space="preserve">Measured</t>
  </si>
  <si>
    <t xml:space="preserve">Target</t>
  </si>
  <si>
    <t xml:space="preserve">Result</t>
  </si>
  <si>
    <t xml:space="preserve">Line coverage</t>
  </si>
  <si>
    <t xml:space="preserve">99.45%</t>
  </si>
  <si>
    <t xml:space="preserve">≥ 80%</t>
  </si>
  <si>
    <t xml:space="preserve">Branch coverage</t>
  </si>
  <si>
    <t xml:space="preserve">92.26%</t>
  </si>
  <si>
    <t xml:space="preserve">≥ 70%</t>
  </si>
  <si>
    <t xml:space="preserve">Function coverage</t>
  </si>
  <si>
    <t xml:space="preserve">97.65%</t>
  </si>
  <si>
    <t xml:space="preserve">Lint (ESLint)</t>
  </si>
  <si>
    <t xml:space="preserve">0 errors</t>
  </si>
  <si>
    <t xml:space="preserve">Load test p95 latency</t>
  </si>
  <si>
    <t xml:space="preserve">114.6 ms</t>
  </si>
  <si>
    <t xml:space="preserve">≤ 300 ms</t>
  </si>
  <si>
    <t xml:space="preserve">Load test throughput (1 process, 25 concurrent)</t>
  </si>
  <si>
    <t xml:space="preserve">338.1 req/s</t>
  </si>
  <si>
    <t xml:space="preserve">informational</t>
  </si>
  <si>
    <t xml:space="preserve">—</t>
  </si>
  <si>
    <t xml:space="preserve">Load test error rate</t>
  </si>
  <si>
    <t xml:space="preserve">0.00%</t>
  </si>
  <si>
    <t xml:space="preserve">≤ 1%</t>
  </si>
  <si>
    <t xml:space="preserve">Module</t>
  </si>
  <si>
    <t xml:space="preserve">Cases</t>
  </si>
  <si>
    <t xml:space="preserve">Authentication and session</t>
  </si>
  <si>
    <t xml:space="preserve">Authorisation (RBAC / ABAC)</t>
  </si>
  <si>
    <t xml:space="preserve">Customer 360, data enrichment and MDM</t>
  </si>
  <si>
    <t xml:space="preserve">Lead scoring, NBA and benefits</t>
  </si>
  <si>
    <t xml:space="preserve">Journeys and contact compliance</t>
  </si>
  <si>
    <t xml:space="preserve">Voice bot and telesales handoff</t>
  </si>
  <si>
    <t xml:space="preserve">Quote → pay → issue → e-certificate</t>
  </si>
  <si>
    <t xml:space="preserve">Partners and partner API</t>
  </si>
  <si>
    <t xml:space="preserve">Rules engine and maker-checker</t>
  </si>
  <si>
    <t xml:space="preserve">Claims FNOL</t>
  </si>
  <si>
    <t xml:space="preserve">Privacy, encryption and audit</t>
  </si>
  <si>
    <t xml:space="preserve">Operations, jobs and events</t>
  </si>
  <si>
    <t xml:space="preserve">HTTP pipeline and platform security</t>
  </si>
  <si>
    <t xml:space="preserve">Non-functional, resilience and DR</t>
  </si>
  <si>
    <t xml:space="preserve">Accessibility and localisation</t>
  </si>
  <si>
    <t xml:space="preserve">SIT with VETC, TASCO and Zalo</t>
  </si>
  <si>
    <t xml:space="preserve">Additional cases (assisted sales and review findings)</t>
  </si>
  <si>
    <t xml:space="preserve">Priority</t>
  </si>
  <si>
    <t xml:space="preserve">Not Run / Blocked</t>
  </si>
  <si>
    <t xml:space="preserve">P1</t>
  </si>
  <si>
    <t xml:space="preserve">P2</t>
  </si>
  <si>
    <t xml:space="preserve">P3</t>
  </si>
  <si>
    <t xml:space="preserve">Functional scenarios by epic</t>
  </si>
  <si>
    <t xml:space="preserve">Scenarios</t>
  </si>
  <si>
    <t xml:space="preserve">EP-01 Data foundation and repair</t>
  </si>
  <si>
    <t xml:space="preserve">EP-02 Lead prioritisation</t>
  </si>
  <si>
    <t xml:space="preserve">EP-03 Renewal journeys (TASCO book)</t>
  </si>
  <si>
    <t xml:space="preserve">EP-04 New-business journeys and moments of truth</t>
  </si>
  <si>
    <t xml:space="preserve">EP-05 AI voice bot</t>
  </si>
  <si>
    <t xml:space="preserve">EP-06 Telesales closing</t>
  </si>
  <si>
    <t xml:space="preserve">EP-07 Customer app: renew and self-service</t>
  </si>
  <si>
    <t xml:space="preserve">EP-08 Value beyond discount and cross-sell</t>
  </si>
  <si>
    <t xml:space="preserve">EP-09 Partner channel</t>
  </si>
  <si>
    <t xml:space="preserve">EP-10 Fleet / B2B</t>
  </si>
  <si>
    <t xml:space="preserve">EP-11 Claims FNOL</t>
  </si>
  <si>
    <t xml:space="preserve">EP-12 Privacy and consent</t>
  </si>
  <si>
    <t xml:space="preserve">EP-13 Rule governance</t>
  </si>
  <si>
    <t xml:space="preserve">EP-14 Identity, access and audit</t>
  </si>
  <si>
    <t xml:space="preserve">EP-15 Operations, insights and UX</t>
  </si>
  <si>
    <t xml:space="preserve">Total functional scenarios</t>
  </si>
  <si>
    <t xml:space="preserve">Functional test cases — business scenarios from user-story acceptance criteria (Given / When / Then)</t>
  </si>
  <si>
    <t xml:space="preserve">Each scenario is executed by the automated functional acceptance suite (test/functional/*.test.js, one test per scenario, named "US-xxx · scenario") against the real API. Run 2026-10-07.</t>
  </si>
  <si>
    <t xml:space="preserve">Functional TC ID</t>
  </si>
  <si>
    <t xml:space="preserve">Epic</t>
  </si>
  <si>
    <t xml:space="preserve">User Story</t>
  </si>
  <si>
    <t xml:space="preserve">Persona / Actor</t>
  </si>
  <si>
    <t xml:space="preserve">Test Scenario</t>
  </si>
  <si>
    <t xml:space="preserve">Pre-conditions (Given)</t>
  </si>
  <si>
    <t xml:space="preserve">Test Steps (When)</t>
  </si>
  <si>
    <t xml:space="preserve">Expected Result (Then)</t>
  </si>
  <si>
    <t xml:space="preserve">Actual Result</t>
  </si>
  <si>
    <t xml:space="preserve">Status</t>
  </si>
  <si>
    <t xml:space="preserve">Requirement (FR)</t>
  </si>
  <si>
    <t xml:space="preserve">Automated test</t>
  </si>
  <si>
    <t xml:space="preserve">Duration (ms)</t>
  </si>
  <si>
    <t xml:space="preserve">Executed On</t>
  </si>
  <si>
    <t xml:space="preserve">FTC-001</t>
  </si>
  <si>
    <t xml:space="preserve">US-001: Ingest a partner list into golden profiles</t>
  </si>
  <si>
    <t xml:space="preserve">data steward (PS-06)</t>
  </si>
  <si>
    <t xml:space="preserve">Duplicate records for the same vehicle merge into one golden profile</t>
  </si>
  <si>
    <t xml:space="preserve">Given a VETC account record with plate "30a-123.45" and phone "+84912345678"
And a partner_bank record with plate "30A 12345" and phone "0912 345 678"</t>
  </si>
  <si>
    <t xml:space="preserve">When I POST both records to /api/data/ingest with source "partner_bank"</t>
  </si>
  <si>
    <t xml:space="preserve">Then exactly one profile with id "30A12345" and plate "30A-123.45" exists
And its phone is "0912345678"
And its sources include "vetc_account" and "partner_bank"</t>
  </si>
  <si>
    <t xml:space="preserve">As expected — all Then/And conditions asserted by the automated scenario.</t>
  </si>
  <si>
    <t xml:space="preserve">FR-001, FR-002, FR-003, FR-004, FR-011</t>
  </si>
  <si>
    <t xml:space="preserve">Must</t>
  </si>
  <si>
    <t xml:space="preserve">test/functional/ep01-04-data-leads-journeys.test.js</t>
  </si>
  <si>
    <t xml:space="preserve">2026-10-07</t>
  </si>
  <si>
    <t xml:space="preserve">FTC-002</t>
  </si>
  <si>
    <t xml:space="preserve">Invalid plate is rejected and raised as a DQ issue</t>
  </si>
  <si>
    <t xml:space="preserve">Given a record with plate "30-12345"</t>
  </si>
  <si>
    <t xml:space="preserve">When the batch is ingested</t>
  </si>
  <si>
    <t xml:space="preserve">Then the response reports rejected = 1
And a DQ issue of type "invalid_plate" is open for that record id</t>
  </si>
  <si>
    <t xml:space="preserve">FTC-003</t>
  </si>
  <si>
    <t xml:space="preserve">Batch size limit</t>
  </si>
  <si>
    <t xml:space="preserve">When I post a batch of 5,001 records</t>
  </si>
  <si>
    <t xml:space="preserve">Then the request is rejected with a validation error</t>
  </si>
  <si>
    <t xml:space="preserve">FTC-004</t>
  </si>
  <si>
    <t xml:space="preserve">US-002: See how reliable an expiry date is</t>
  </si>
  <si>
    <t xml:space="preserve">campaign manager (PS-03)</t>
  </si>
  <si>
    <t xml:space="preserve">Verified certificate wins</t>
  </si>
  <si>
    <t xml:space="preserve">Given a vehicle has a verified certificate expiring 2027-03-01 and an inspection-cycle estimate of 2027-03-10</t>
  </si>
  <si>
    <t xml:space="preserve">When the profile is built</t>
  </si>
  <si>
    <t xml:space="preserve">Then policy.expiryDate is "2027-03-01"
And expiryMethod is "verified_certificate" with confidence 1.0</t>
  </si>
  <si>
    <t xml:space="preserve">FR-005, FR-008</t>
  </si>
  <si>
    <t xml:space="preserve">FTC-005</t>
  </si>
  <si>
    <t xml:space="preserve">Agreeing weak evidence is corroborated</t>
  </si>
  <si>
    <t xml:space="preserve">Given only an inspection-cycle estimate (0.5) and a tag-anniversary estimate (0.25) within 21 days of each other</t>
  </si>
  <si>
    <t xml:space="preserve">Then the chosen method is "inspection_cycle"
And confidence is 0.65</t>
  </si>
  <si>
    <t xml:space="preserve">FTC-006</t>
  </si>
  <si>
    <t xml:space="preserve">Lineage shows the evidence</t>
  </si>
  <si>
    <t xml:space="preserve">When I GET /api/customers/{id}/lineage</t>
  </si>
  <si>
    <t xml:space="preserve">Then I see a field entry "policy.expiryDate" with its source and confidence</t>
  </si>
  <si>
    <t xml:space="preserve">FTC-007</t>
  </si>
  <si>
    <t xml:space="preserve">US-003: Correct an expiry with evidence</t>
  </si>
  <si>
    <t xml:space="preserve">Correction requires evidence and is audited</t>
  </si>
  <si>
    <t xml:space="preserve">Given I hold permission "profile:update"</t>
  </si>
  <si>
    <t xml:space="preserve">When I PATCH /api/customers/30A12345/expiry with expiryDate "2027-05-10", insurer "PVI" and evidence "photo of certificate via hotline"</t>
  </si>
  <si>
    <t xml:space="preserve">Then the profile expiry is "2027-05-10" with confidence 0.9
And the audit trail contains "profile.expiry_corrected" with my user id and the evidence text
And the lead is recomputed immediately</t>
  </si>
  <si>
    <t xml:space="preserve">FR-009, FR-097</t>
  </si>
  <si>
    <t xml:space="preserve">FTC-008</t>
  </si>
  <si>
    <t xml:space="preserve">Missing evidence</t>
  </si>
  <si>
    <t xml:space="preserve">When I omit "evidence"</t>
  </si>
  <si>
    <t xml:space="preserve">Then the request fails validation</t>
  </si>
  <si>
    <t xml:space="preserve">FTC-009</t>
  </si>
  <si>
    <t xml:space="preserve">US-004: Work the data-quality queue</t>
  </si>
  <si>
    <t xml:space="preserve">Filter and resolve</t>
  </si>
  <si>
    <t xml:space="preserve">Given open DQ issues of types "reliable_expiry" and "conflicting_phone"</t>
  </si>
  <si>
    <t xml:space="preserve">When I GET /api/dq/issues?type=conflicting_phone
When I POST /api/dq/issues/{id}/resolve with resolution "confirmed primary number by call"</t>
  </si>
  <si>
    <t xml:space="preserve">Then only "conflicting_phone" issues are returned with a byType summary
Then the issue status is "resolved" with my id and timestamp</t>
  </si>
  <si>
    <t xml:space="preserve">FR-007</t>
  </si>
  <si>
    <t xml:space="preserve">FTC-010</t>
  </si>
  <si>
    <t xml:space="preserve">US-005: Platform-captured facts survive source reloads</t>
  </si>
  <si>
    <t xml:space="preserve">Customer declaration beats a weaker reload</t>
  </si>
  <si>
    <t xml:space="preserve">Given a customer declared expiry "2027-01-15" (customer_declared, 0.8)</t>
  </si>
  <si>
    <t xml:space="preserve">When the nightly VETC batch re-ingests that plate with only a tag-anniversary estimate (0.25)</t>
  </si>
  <si>
    <t xml:space="preserve">Then the profile keeps expiry "2027-01-15" with method "customer_declared"</t>
  </si>
  <si>
    <t xml:space="preserve">FR-010</t>
  </si>
  <si>
    <t xml:space="preserve">FTC-011</t>
  </si>
  <si>
    <t xml:space="preserve">Consent withdrawal survives reload</t>
  </si>
  <si>
    <t xml:space="preserve">Given the customer withdrew call consent in the consent centre</t>
  </si>
  <si>
    <t xml:space="preserve">When the source batch says callConsent = true</t>
  </si>
  <si>
    <t xml:space="preserve">Then the profile consent.call remains false</t>
  </si>
  <si>
    <t xml:space="preserve">FTC-012</t>
  </si>
  <si>
    <t xml:space="preserve">US-006: Infer vehicle category and premium</t>
  </si>
  <si>
    <t xml:space="preserve">Declared seats beat toll class</t>
  </si>
  <si>
    <t xml:space="preserve">Given a vehicle with seatsDeclared 7 and tollClass 1, used personally</t>
  </si>
  <si>
    <t xml:space="preserve">Then its category is "car_6_11" with confidence 0.85
And its lead premium is 873,400 VND incl. VAT for a 365-day term</t>
  </si>
  <si>
    <t xml:space="preserve">FR-006, FR-053</t>
  </si>
  <si>
    <t xml:space="preserve">FTC-013</t>
  </si>
  <si>
    <t xml:space="preserve">Toll class only</t>
  </si>
  <si>
    <t xml:space="preserve">Given a vehicle with tollClass 1 and no seats</t>
  </si>
  <si>
    <t xml:space="preserve">Then its category is "car_under6" with confidence 0.55 and a DQ issue "vehicle_category" is open</t>
  </si>
  <si>
    <t xml:space="preserve">FTC-014</t>
  </si>
  <si>
    <t xml:space="preserve">US-007: Call the right customer first</t>
  </si>
  <si>
    <t xml:space="preserve">telesales agent (PS-01)</t>
  </si>
  <si>
    <t xml:space="preserve">Score, tier and reasons</t>
  </si>
  <si>
    <t xml:space="preserve">Given a TASCO customer expiring in 10 days, expiry confidence 1.0, 8 app sessions, push enabled and call consent</t>
  </si>
  <si>
    <t xml:space="preserve">When leads are computed</t>
  </si>
  <si>
    <t xml:space="preserve">Then the score is between 0 and 100 and the tier is "hot" when score &gt;= 70
And reasons list each factor with points, max and a "why" such as "expires in 10 days"</t>
  </si>
  <si>
    <t xml:space="preserve">FR-012, FR-014, FR-017</t>
  </si>
  <si>
    <t xml:space="preserve">FTC-015</t>
  </si>
  <si>
    <t xml:space="preserve">Do-not-contact zeroes the score</t>
  </si>
  <si>
    <t xml:space="preserve">Given the same customer is on DNC</t>
  </si>
  <si>
    <t xml:space="preserve">Then the score is 0 and the NBA is "suppress"</t>
  </si>
  <si>
    <t xml:space="preserve">FTC-016</t>
  </si>
  <si>
    <t xml:space="preserve">Filtering</t>
  </si>
  <si>
    <t xml:space="preserve">When I GET /api/leads?tier=hot&amp;maxDays=30&amp;sort=score</t>
  </si>
  <si>
    <t xml:space="preserve">Then only hot leads with daysToExpiry &lt;= 30 are returned in descending score order</t>
  </si>
  <si>
    <t xml:space="preserve">FTC-017</t>
  </si>
  <si>
    <t xml:space="preserve">US-008: Know the next best action</t>
  </si>
  <si>
    <t xml:space="preserve">First matching NBA rule wins</t>
  </si>
  <si>
    <t xml:space="preserve">Given a lead with &lt;facts&gt;</t>
  </si>
  <si>
    <t xml:space="preserve">Then nextBestAction.action is "&lt;action&gt;"
| facts                                               | action              |
| consent.dnc = true                                  | suppress            |
| ownerType = company                                 | route_b2b           |
| expiryConfidence = 0.3                              | verify_expiry       |
| journey = new_vehicle, confidence 0.8               | welcome_new_vehicle |
| days = 60, confidence 0.8                           | nurture             |
| journey = lapsed_uninsured                          | urgent_recovery     |
| tier hot, consent.call, hasPhone, days 20           | voice_bot           |
| tier warm, channels.app_push, days 20               | digital_reminder    |
| phone only, days 20                                 | sms_reminder        |
| no phone, no app, no Zalo, days 20                  | enrich              |</t>
  </si>
  <si>
    <t xml:space="preserve">FR-015</t>
  </si>
  <si>
    <t xml:space="preserve">FTC-018</t>
  </si>
  <si>
    <t xml:space="preserve">US-009: See only my region</t>
  </si>
  <si>
    <t xml:space="preserve">regional telesales agent (PS-01, region "Hà Nội")</t>
  </si>
  <si>
    <t xml:space="preserve">Region scoping</t>
  </si>
  <si>
    <t xml:space="preserve">Given I am "agent.hn" with region "Hà Nội" and no dashboard:read permission</t>
  </si>
  <si>
    <t xml:space="preserve">When I GET /api/leads?region=TP. Hồ Chí Minh</t>
  </si>
  <si>
    <t xml:space="preserve">Then only leads with region "Hà Nội" are returned</t>
  </si>
  <si>
    <t xml:space="preserve">FR-017, FR-093</t>
  </si>
  <si>
    <t xml:space="preserve">FTC-019</t>
  </si>
  <si>
    <t xml:space="preserve">Profile outside region</t>
  </si>
  <si>
    <t xml:space="preserve">When I GET /api/customers/{id} for a profile in "TP. Hồ Chí Minh"</t>
  </si>
  <si>
    <t xml:space="preserve">Then the response is 403 with policy "regional_data"</t>
  </si>
  <si>
    <t xml:space="preserve">FTC-020</t>
  </si>
  <si>
    <t xml:space="preserve">US-010: Stop selling to insured customers</t>
  </si>
  <si>
    <t xml:space="preserve">customer (PC-1)</t>
  </si>
  <si>
    <t xml:space="preserve">Purchase stops journeys</t>
  </si>
  <si>
    <t xml:space="preserve">Given I have scheduled renewal touchpoints</t>
  </si>
  <si>
    <t xml:space="preserve">When a TNDS policy is issued to me</t>
  </si>
  <si>
    <t xml:space="preserve">Then my lead has no journey and NBA "insured"
And any scheduled touchpoint executed later is "cancelled" with reason "already insured with TASCO"</t>
  </si>
  <si>
    <t xml:space="preserve">FR-019, FR-030</t>
  </si>
  <si>
    <t xml:space="preserve">FTC-021</t>
  </si>
  <si>
    <t xml:space="preserve">US-011: Re-score after a rule change</t>
  </si>
  <si>
    <t xml:space="preserve">Recompute</t>
  </si>
  <si>
    <t xml:space="preserve">Given I hold "leads:recompute"</t>
  </si>
  <si>
    <t xml:space="preserve">When I POST /api/leads/recompute</t>
  </si>
  <si>
    <t xml:space="preserve">Then every non-anonymised profile is re-evaluated with the active rules
And the audit trail has "leads.recomputed" with the count
And leads whose journey or tier changed have their touchpoints re-planned</t>
  </si>
  <si>
    <t xml:space="preserve">FR-018</t>
  </si>
  <si>
    <t xml:space="preserve">Should</t>
  </si>
  <si>
    <t xml:space="preserve">FTC-022</t>
  </si>
  <si>
    <t xml:space="preserve">US-012: Timely renewal reminders</t>
  </si>
  <si>
    <t xml:space="preserve">TASCO customer (PC-1)</t>
  </si>
  <si>
    <t xml:space="preserve">Renewal cadence is planned from expiry</t>
  </si>
  <si>
    <t xml:space="preserve">Given my insurer is TASCO and my expiry is 60 days from today</t>
  </si>
  <si>
    <t xml:space="preserve">When my lead is computed</t>
  </si>
  <si>
    <t xml:space="preserve">Then touchpoints are planned at -45 (verify_expiry), -30 (first_reminder), -21 (value_reminder), -7 (urgent_reminder) and 0 (expiry_day)
And a voice_bot step at -14 exists only if my tier is hot or warm
And a telesales step at -3 exists only if my tier is hot</t>
  </si>
  <si>
    <t xml:space="preserve">FR-020, FR-021, FR-022, FR-025, FR-029</t>
  </si>
  <si>
    <t xml:space="preserve">FTC-023</t>
  </si>
  <si>
    <t xml:space="preserve">App push first, then fallback</t>
  </si>
  <si>
    <t xml:space="preserve">Given a due first_reminder with channels app_push, zalo_zns, sms and I have push disabled but Zalo linked</t>
  </si>
  <si>
    <t xml:space="preserve">When the journey run executes</t>
  </si>
  <si>
    <t xml:space="preserve">Then the message is sent on zalo_zns, rendered in Vietnamese with my plate, expiry dd/mm/yyyy and a signed link</t>
  </si>
  <si>
    <t xml:space="preserve">FTC-024</t>
  </si>
  <si>
    <t xml:space="preserve">US-013: Respect contact hours and caps</t>
  </si>
  <si>
    <t xml:space="preserve">compliance officer (PS-05)</t>
  </si>
  <si>
    <t xml:space="preserve">Outside the contact window</t>
  </si>
  <si>
    <t xml:space="preserve">Given a due marketing touchpoint</t>
  </si>
  <si>
    <t xml:space="preserve">When the journey run executes at 21:15 ICT</t>
  </si>
  <si>
    <t xml:space="preserve">Then the touchpoint is "skipped" with reason "outside allowed contact hours"</t>
  </si>
  <si>
    <t xml:space="preserve">FR-023</t>
  </si>
  <si>
    <t xml:space="preserve">FTC-025</t>
  </si>
  <si>
    <t xml:space="preserve">Weekly cap</t>
  </si>
  <si>
    <t xml:space="preserve">Given the customer received 3 marketing messages in the last 7 days</t>
  </si>
  <si>
    <t xml:space="preserve">When another marketing touchpoint is due</t>
  </si>
  <si>
    <t xml:space="preserve">Then it is skipped with reason "weekly contact cap reached"</t>
  </si>
  <si>
    <t xml:space="preserve">FTC-026</t>
  </si>
  <si>
    <t xml:space="preserve">No marketing consent</t>
  </si>
  <si>
    <t xml:space="preserve">Given consent.marketing = false</t>
  </si>
  <si>
    <t xml:space="preserve">Then marketing messages are skipped with reason "no marketing consent"</t>
  </si>
  <si>
    <t xml:space="preserve">FTC-027</t>
  </si>
  <si>
    <t xml:space="preserve">US-014: Never send discount language</t>
  </si>
  <si>
    <t xml:space="preserve">Send-time block</t>
  </si>
  <si>
    <t xml:space="preserve">Given a template rendered to text containing "giảm giá"</t>
  </si>
  <si>
    <t xml:space="preserve">When the journey engine sends it</t>
  </si>
  <si>
    <t xml:space="preserve">Then the message status is "blocked" with reason starting "copy guard:"
And no provider call is made</t>
  </si>
  <si>
    <t xml:space="preserve">FR-024</t>
  </si>
  <si>
    <t xml:space="preserve">FTC-028</t>
  </si>
  <si>
    <t xml:space="preserve">Diacritic-insensitive</t>
  </si>
  <si>
    <t xml:space="preserve">Given a text containing "giam gia"</t>
  </si>
  <si>
    <t xml:space="preserve">Then it is also blocked</t>
  </si>
  <si>
    <t xml:space="preserve">FTC-029</t>
  </si>
  <si>
    <t xml:space="preserve">US-015: Service messages still reach the customer</t>
  </si>
  <si>
    <t xml:space="preserve">Service message bypasses caps but not DNC</t>
  </si>
  <si>
    <t xml:space="preserve">Given I received 3 marketing messages this week</t>
  </si>
  <si>
    <t xml:space="preserve">When the expiry_day step (marketing = false) is due</t>
  </si>
  <si>
    <t xml:space="preserve">Then it is sent
But if I am on DNC it is skipped with reason "customer is on do-not-contact list"</t>
  </si>
  <si>
    <t xml:space="preserve">FR-023, FR-025</t>
  </si>
  <si>
    <t xml:space="preserve">FTC-030</t>
  </si>
  <si>
    <t xml:space="preserve">US-016: Escalate unresponsive hot customers to a human</t>
  </si>
  <si>
    <t xml:space="preserve">telesales supervisor (PS-02)</t>
  </si>
  <si>
    <t xml:space="preserve">Journey escalation</t>
  </si>
  <si>
    <t xml:space="preserve">Given a hot TASCO-renewal lead with call consent and no purchase</t>
  </si>
  <si>
    <t xml:space="preserve">When the -3 day telesales step runs</t>
  </si>
  <si>
    <t xml:space="preserve">Then a handoff with outcome "journey_escalation" is created with talking points
And a message log entry "[telesales task HO-…]" is recorded</t>
  </si>
  <si>
    <t xml:space="preserve">FR-044</t>
  </si>
  <si>
    <t xml:space="preserve">FTC-031</t>
  </si>
  <si>
    <t xml:space="preserve">US-017: Recover uninsured vehicles</t>
  </si>
  <si>
    <t xml:space="preserve">lapsed owner (PC-4)</t>
  </si>
  <si>
    <t xml:space="preserve">Lapsed vehicle enters the recovery journey</t>
  </si>
  <si>
    <t xml:space="preserve">Given my expiry was 20 days ago with confidence 0.75</t>
  </si>
  <si>
    <t xml:space="preserve">Then my journey is "lapsed_uninsured" and the NBA is "urgent_recovery"
And a lapsed_notice (service) is planned for today on app_push, zalo_zns, sms
And a voice_bot step is planned at +2 days if I am hot or warm, and telesales at +5 days if hot</t>
  </si>
  <si>
    <t xml:space="preserve">FR-013, FR-020, FR-022</t>
  </si>
  <si>
    <t xml:space="preserve">FTC-032</t>
  </si>
  <si>
    <t xml:space="preserve">Lapsed too long is not assumed uninsured</t>
  </si>
  <si>
    <t xml:space="preserve">Given my expiry was 90 days ago</t>
  </si>
  <si>
    <t xml:space="preserve">Then I am not in "lapsed_uninsured" and the urgency reason says "likely renewed elsewhere"</t>
  </si>
  <si>
    <t xml:space="preserve">FTC-033</t>
  </si>
  <si>
    <t xml:space="preserve">US-018: Welcome new cars</t>
  </si>
  <si>
    <t xml:space="preserve">new car buyer (PC-3)</t>
  </si>
  <si>
    <t xml:space="preserve">Tag activation triggers onboarding</t>
  </si>
  <si>
    <t xml:space="preserve">Given VETC emits "vetc.tag_activated" for my plate</t>
  </si>
  <si>
    <t xml:space="preserve">When POST /api/ecosystem/events is processed</t>
  </si>
  <si>
    <t xml:space="preserve">Then my lead is re-evaluated into journey "new_vehicle" (unless I am already a TASCO customer)
And a welcome message (service) is planned at tag date +1, verify_expiry at +7 and value_reminder (marketing) at +14</t>
  </si>
  <si>
    <t xml:space="preserve">FR-013, FR-026</t>
  </si>
  <si>
    <t xml:space="preserve">FTC-034</t>
  </si>
  <si>
    <t xml:space="preserve">US-019: Win customers insured elsewhere</t>
  </si>
  <si>
    <t xml:space="preserve">private car owner insured elsewhere (PC-1)</t>
  </si>
  <si>
    <t xml:space="preserve">Conquest copy is benefit-led and lawful</t>
  </si>
  <si>
    <t xml:space="preserve">Given my insurer is "PVI" and I expire in 30 days</t>
  </si>
  <si>
    <t xml:space="preserve">When first_reminder is due</t>
  </si>
  <si>
    <t xml:space="preserve">Then the "conquest_reminder" template is used with my top approved benefit (e.g. "cứu hộ giao thông 24/7")
And the text contains no copy_guard phrase
And a voice_bot step at -14 days is planned only if I am hot</t>
  </si>
  <si>
    <t xml:space="preserve">FR-016, FR-020, FR-025</t>
  </si>
  <si>
    <t xml:space="preserve">FTC-035</t>
  </si>
  <si>
    <t xml:space="preserve">US-020: Inspection is a moment of truth</t>
  </si>
  <si>
    <t xml:space="preserve">car owner (PC-1) booking an inspection (*đăng kiểm*)</t>
  </si>
  <si>
    <t xml:space="preserve">Inspection booked with expiry soon</t>
  </si>
  <si>
    <t xml:space="preserve">Given my TNDS expires in 40 days</t>
  </si>
  <si>
    <t xml:space="preserve">When "vetc.inspection_booked" is received</t>
  </si>
  <si>
    <t xml:space="preserve">Then an "inspection_tnds_check" service message is sent via app_push or zalo_zns</t>
  </si>
  <si>
    <t xml:space="preserve">FR-026, FR-062</t>
  </si>
  <si>
    <t xml:space="preserve">FTC-036</t>
  </si>
  <si>
    <t xml:space="preserve">Expiry far away</t>
  </si>
  <si>
    <t xml:space="preserve">Given my TNDS expires in 200 days</t>
  </si>
  <si>
    <t xml:space="preserve">Then the trigger result is "condition not met" and nothing is sent</t>
  </si>
  <si>
    <t xml:space="preserve">FTC-037</t>
  </si>
  <si>
    <t xml:space="preserve">US-021: Remind when I am in the app with money</t>
  </si>
  <si>
    <t xml:space="preserve">customer (PC-2) topping up my VETC wallet</t>
  </si>
  <si>
    <t xml:space="preserve">Wallet top-up within ±30 days of expiry</t>
  </si>
  <si>
    <t xml:space="preserve">Given my expiry is in 12 days and I have marketing consent</t>
  </si>
  <si>
    <t xml:space="preserve">When "vetc.wallet_topped_up" is received between 08:00 and 20:00 ICT</t>
  </si>
  <si>
    <t xml:space="preserve">Then a first_reminder push is sent
And if I already received 1 marketing contact today the result is "no permitted channel"</t>
  </si>
  <si>
    <t xml:space="preserve">FR-026</t>
  </si>
  <si>
    <t xml:space="preserve">FTC-038</t>
  </si>
  <si>
    <t xml:space="preserve">US-022: Rehearse moments of truth</t>
  </si>
  <si>
    <t xml:space="preserve">Simulator</t>
  </si>
  <si>
    <t xml:space="preserve">Given I hold "journeys:run"</t>
  </si>
  <si>
    <t xml:space="preserve">When I choose a customer and event type "vetc.long_trip_started" in the Journeys screen</t>
  </si>
  <si>
    <t xml:space="preserve">Then the console shows matched triggers and per-trigger results
And the audit trail has "ecosystem.event_handled"</t>
  </si>
  <si>
    <t xml:space="preserve">FR-026, FR-108</t>
  </si>
  <si>
    <t xml:space="preserve">FTC-039</t>
  </si>
  <si>
    <t xml:space="preserve">US-023: Know I am talking to a bot from VETC</t>
  </si>
  <si>
    <t xml:space="preserve">Opening line</t>
  </si>
  <si>
    <t xml:space="preserve">When a bot session starts</t>
  </si>
  <si>
    <t xml:space="preserve">Then the first bot line (key "intro") states it is VETC's automated assistant, the call is recorded, VETC never asks for OTP or payment by phone
And it asks me to say my licence plate
And it does not say my plate, name or expiry</t>
  </si>
  <si>
    <t xml:space="preserve">FR-031</t>
  </si>
  <si>
    <t xml:space="preserve">test/functional/ep05-08-voice-sales-app-value.test.js</t>
  </si>
  <si>
    <t xml:space="preserve">FTC-040</t>
  </si>
  <si>
    <t xml:space="preserve">US-024: Prove it's really my car before discussing it</t>
  </si>
  <si>
    <t xml:space="preserve">Spoken plate matches</t>
  </si>
  <si>
    <t xml:space="preserve">Given my plate is "30A-123.45"</t>
  </si>
  <si>
    <t xml:space="preserve">When I say "ba không A một hai ba bốn năm"</t>
  </si>
  <si>
    <t xml:space="preserve">Then the session is verified and the bot states my expiry using the masked plate "30A-***.45"</t>
  </si>
  <si>
    <t xml:space="preserve">FR-032, FR-033</t>
  </si>
  <si>
    <t xml:space="preserve">FTC-041</t>
  </si>
  <si>
    <t xml:space="preserve">Plate mismatch</t>
  </si>
  <si>
    <t xml:space="preserve">When I say "29A 999 99"</t>
  </si>
  <si>
    <t xml:space="preserve">Then the bot ends politely (line "plateMismatch") with outcome "plate_mismatch"
And a DQ issue "plate_mismatch" is opened for the profile</t>
  </si>
  <si>
    <t xml:space="preserve">FTC-042</t>
  </si>
  <si>
    <t xml:space="preserve">Plate not understood three times</t>
  </si>
  <si>
    <t xml:space="preserve">When I say three utterances with no recognisable plate</t>
  </si>
  <si>
    <t xml:space="preserve">Then the call ends with outcome "unverified"</t>
  </si>
  <si>
    <t xml:space="preserve">FTC-043</t>
  </si>
  <si>
    <t xml:space="preserve">US-025: Honest answer about price</t>
  </si>
  <si>
    <t xml:space="preserve">price-sensitive customer (PC-1)</t>
  </si>
  <si>
    <t xml:space="preserve">Price asked</t>
  </si>
  <si>
    <t xml:space="preserve">Given I am verified and my premium is 480,700 VND incl. VAT</t>
  </si>
  <si>
    <t xml:space="preserve">When I say "phí bao nhiêu tiền"</t>
  </si>
  <si>
    <t xml:space="preserve">Then the bot says TNDS premiums are set by regulation and identical at every insurer, states "480.700 đồng" incl. VAT
And mentions one-tap renewal, instant e-certificate and 24/7 roadside assistance
And the handoff (if any) flags priceAsked = true</t>
  </si>
  <si>
    <t xml:space="preserve">FR-035, FR-056</t>
  </si>
  <si>
    <t xml:space="preserve">FTC-044</t>
  </si>
  <si>
    <t xml:space="preserve">US-026: Handle "is this a scam?"</t>
  </si>
  <si>
    <t xml:space="preserve">sceptical customer (PC-4)</t>
  </si>
  <si>
    <t xml:space="preserve">Scam concern at any point</t>
  </si>
  <si>
    <t xml:space="preserve">When I say "sao biết số tôi, lừa đảo à"</t>
  </si>
  <si>
    <t xml:space="preserve">Then the bot replies with the "trust" line and offers an in-app notice
And signals.trustConcern = true is passed to telesales</t>
  </si>
  <si>
    <t xml:space="preserve">FR-034</t>
  </si>
  <si>
    <t xml:space="preserve">FTC-045</t>
  </si>
  <si>
    <t xml:space="preserve">US-027: Tell the bot I already renewed</t>
  </si>
  <si>
    <t xml:space="preserve">customer insured elsewhere (PC-1)</t>
  </si>
  <si>
    <t xml:space="preserve">Already renewed</t>
  </si>
  <si>
    <t xml:space="preserve">Given I am verified and my expiry on file is 2026-10-20</t>
  </si>
  <si>
    <t xml:space="preserve">When I say "tôi đã gia hạn rồi" and then "mua bên Bảo Việt, hết hạn tháng 9 năm sau"</t>
  </si>
  <si>
    <t xml:space="preserve">Then the outcome is "already_renewed"
And my profile expiry becomes 2027-10-20 with method "voice_bot", confidence 0.6, insurer "OTHER" and a competitor note
And my lead is recomputed</t>
  </si>
  <si>
    <t xml:space="preserve">FR-010, FR-036</t>
  </si>
  <si>
    <t xml:space="preserve">FTC-046</t>
  </si>
  <si>
    <t xml:space="preserve">US-028: Stop calling me</t>
  </si>
  <si>
    <t xml:space="preserve">Opt-out</t>
  </si>
  <si>
    <t xml:space="preserve">When I say "đừng gọi nữa"</t>
  </si>
  <si>
    <t xml:space="preserve">Then the bot apologises and ends with outcome "opted_out"
And my consent becomes call = false, dnc = true (persisting across reloads)
And the audit trail has "consent.withdrawn" via the session id</t>
  </si>
  <si>
    <t xml:space="preserve">FR-036, FR-078</t>
  </si>
  <si>
    <t xml:space="preserve">FTC-047</t>
  </si>
  <si>
    <t xml:space="preserve">US-029: Run an automated campaign</t>
  </si>
  <si>
    <t xml:space="preserve">Eligible customers only</t>
  </si>
  <si>
    <t xml:space="preserve">Given 50 hot leads of which 10 lack call consent, 2 are DNC and 5 are company-owned</t>
  </si>
  <si>
    <t xml:space="preserve">When I POST /api/voice/campaign with tier "hot" and limit 20</t>
  </si>
  <si>
    <t xml:space="preserve">Then at most 20 calls are made, none to the 17 ineligible customers
And the response summarises outcomes (e.g. hot_handoff, link_sent, already_renewed)</t>
  </si>
  <si>
    <t xml:space="preserve">FR-038</t>
  </si>
  <si>
    <t xml:space="preserve">FTC-048</t>
  </si>
  <si>
    <t xml:space="preserve">Contact policy applies to campaigns (target behaviour)</t>
  </si>
  <si>
    <t xml:space="preserve">Given it is 21:00 ICT</t>
  </si>
  <si>
    <t xml:space="preserve">When I launch a campaign</t>
  </si>
  <si>
    <t xml:space="preserve">Then no calls are placed and the response explains "outside allowed contact hours"
# Note: not enforced by the current campaign route — see doc 05 E-01</t>
  </si>
  <si>
    <t xml:space="preserve">FTC-049</t>
  </si>
  <si>
    <t xml:space="preserve">US-030: Rehearse a call</t>
  </si>
  <si>
    <t xml:space="preserve">Console session</t>
  </si>
  <si>
    <t xml:space="preserve">Given I hold "voice:operate"</t>
  </si>
  <si>
    <t xml:space="preserve">When I POST /api/voice/sessions for a non-DNC customer and send turns as text</t>
  </si>
  <si>
    <t xml:space="preserve">Then I see the Vietnamese bot lines with English gloss for each turn
And when the call ends the outcome and any handoff id are shown</t>
  </si>
  <si>
    <t xml:space="preserve">FR-037</t>
  </si>
  <si>
    <t xml:space="preserve">FTC-050</t>
  </si>
  <si>
    <t xml:space="preserve">DNC customer</t>
  </si>
  <si>
    <t xml:space="preserve">When I start a session for a DNC customer</t>
  </si>
  <si>
    <t xml:space="preserve">Then the request is refused with "Customer is on the do-not-contact list"</t>
  </si>
  <si>
    <t xml:space="preserve">FTC-051</t>
  </si>
  <si>
    <t xml:space="preserve">US-031: Govern the bot</t>
  </si>
  <si>
    <t xml:space="preserve">Governance dashboard</t>
  </si>
  <si>
    <t xml:space="preserve">When I GET /api/dashboard/governance</t>
  </si>
  <si>
    <t xml:space="preserve">Then I see total calls, outcomes, plateVerificationFailureRate, optOutRate and the disclosure statement
And the audit-chain verification result</t>
  </si>
  <si>
    <t xml:space="preserve">FR-039, FR-102</t>
  </si>
  <si>
    <t xml:space="preserve">FTC-052</t>
  </si>
  <si>
    <t xml:space="preserve">US-032: Receive a warm handoff</t>
  </si>
  <si>
    <t xml:space="preserve">Handoff content</t>
  </si>
  <si>
    <t xml:space="preserve">Given a bot call ended with "hot_handoff" after the customer asked about price</t>
  </si>
  <si>
    <t xml:space="preserve">Then a handoff exists with plate, plateVerifiedByCustomer = true, masked phone, journey, expiry, premium and score
And talking points include "Call from the official VETC hotline…", the regulated-price point and the customer's top benefits
And the full phone number is visible only to users with profile:read_pii via Customer 360</t>
  </si>
  <si>
    <t xml:space="preserve">FR-040</t>
  </si>
  <si>
    <t xml:space="preserve">FTC-053</t>
  </si>
  <si>
    <t xml:space="preserve">US-033: Work my queue</t>
  </si>
  <si>
    <t xml:space="preserve">Claim</t>
  </si>
  <si>
    <t xml:space="preserve">Given an open unassigned handoff</t>
  </si>
  <si>
    <t xml:space="preserve">When I PATCH it with status "claimed"</t>
  </si>
  <si>
    <t xml:space="preserve">Then it is assigned to me</t>
  </si>
  <si>
    <t xml:space="preserve">FR-041, FR-042, FR-093</t>
  </si>
  <si>
    <t xml:space="preserve">FTC-054</t>
  </si>
  <si>
    <t xml:space="preserve">Invalid transition</t>
  </si>
  <si>
    <t xml:space="preserve">Given a handoff with status "won"</t>
  </si>
  <si>
    <t xml:space="preserve">When I PATCH status "open"</t>
  </si>
  <si>
    <t xml:space="preserve">Then the request fails with "Cannot move handoff from won to open"</t>
  </si>
  <si>
    <t xml:space="preserve">FTC-055</t>
  </si>
  <si>
    <t xml:space="preserve">Someone else's handoff</t>
  </si>
  <si>
    <t xml:space="preserve">Given a handoff assigned to another agent</t>
  </si>
  <si>
    <t xml:space="preserve">When I GET it</t>
  </si>
  <si>
    <t xml:space="preserve">Then I receive 403 (policy agent_own_handoffs)</t>
  </si>
  <si>
    <t xml:space="preserve">FTC-056</t>
  </si>
  <si>
    <t xml:space="preserve">US-034: Balance the team</t>
  </si>
  <si>
    <t xml:space="preserve">Assign</t>
  </si>
  <si>
    <t xml:space="preserve">Given I hold "handoff:assign"</t>
  </si>
  <si>
    <t xml:space="preserve">When I PATCH a handoff with assignTo "U-agent01"</t>
  </si>
  <si>
    <t xml:space="preserve">Then it is assigned and the audit trail records "handoff.updated"</t>
  </si>
  <si>
    <t xml:space="preserve">FR-043</t>
  </si>
  <si>
    <t xml:space="preserve">FTC-057</t>
  </si>
  <si>
    <t xml:space="preserve">Agent cannot assign</t>
  </si>
  <si>
    <t xml:space="preserve">Given I am a telesales agent</t>
  </si>
  <si>
    <t xml:space="preserve">When I PATCH with assignTo</t>
  </si>
  <si>
    <t xml:space="preserve">Then I receive 403 "Missing permission handoff:assign"</t>
  </si>
  <si>
    <t xml:space="preserve">FTC-058</t>
  </si>
  <si>
    <t xml:space="preserve">US-035: Close without taking payment by phone</t>
  </si>
  <si>
    <t xml:space="preserve">Quote on the call, pay in app</t>
  </si>
  <si>
    <t xml:space="preserve">Given the customer agrees to renew with passenger cover</t>
  </si>
  <si>
    <t xml:space="preserve">When I POST /api/quotes with TNDS_CAR and PA_SEAT (5 seats, 20,000,000 per seat), channel "telesales"</t>
  </si>
  <si>
    <t xml:space="preserve">Then the quote shows 480,700 + 100,000 = 580,700 VND and bundle "SAFE_DRIVE"
And I mark the handoff "won" only after the customer confirms payment in the VETC app</t>
  </si>
  <si>
    <t xml:space="preserve">FR-045, FR-046, FR-047, FR-051, FR-077</t>
  </si>
  <si>
    <t xml:space="preserve">FTC-059</t>
  </si>
  <si>
    <t xml:space="preserve">Payment is customer-confirmed (target behaviour)</t>
  </si>
  <si>
    <t xml:space="preserve">Then staff-initiated orders must not debit the wallet without in-app customer confirmation
# See doc 05 E-22</t>
  </si>
  <si>
    <t xml:space="preserve">FTC-060</t>
  </si>
  <si>
    <t xml:space="preserve">US-036: Open my renewal from a message</t>
  </si>
  <si>
    <t xml:space="preserve">Signed link</t>
  </si>
  <si>
    <t xml:space="preserve">Given a reminder link containing r=&lt;profileId&gt;.&lt;signature&gt;</t>
  </si>
  <si>
    <t xml:space="preserve">When the app POSTs it to /api/customer/session</t>
  </si>
  <si>
    <t xml:space="preserve">Then a 1-hour customer token scoped to my profile is returned</t>
  </si>
  <si>
    <t xml:space="preserve">FR-074, FR-095</t>
  </si>
  <si>
    <t xml:space="preserve">FTC-061</t>
  </si>
  <si>
    <t xml:space="preserve">Tampered link</t>
  </si>
  <si>
    <t xml:space="preserve">When the signature does not match</t>
  </si>
  <si>
    <t xml:space="preserve">Then the response is 401 "Link invalid or expired"</t>
  </si>
  <si>
    <t xml:space="preserve">FTC-062</t>
  </si>
  <si>
    <t xml:space="preserve">US-037: See my cover at a glance</t>
  </si>
  <si>
    <t xml:space="preserve">Low confidence asks for confirmation</t>
  </si>
  <si>
    <t xml:space="preserve">Given my expiry confidence is 0.5</t>
  </si>
  <si>
    <t xml:space="preserve">When I open the home screen</t>
  </si>
  <si>
    <t xml:space="preserve">Then the cover card shows the expiry with needsConfirmation = true and a "Confirm my expiry" action
And up to 3 approved benefits with reasons are shown</t>
  </si>
  <si>
    <t xml:space="preserve">FR-075</t>
  </si>
  <si>
    <t xml:space="preserve">FTC-063</t>
  </si>
  <si>
    <t xml:space="preserve">US-038: Confirm my expiry</t>
  </si>
  <si>
    <t xml:space="preserve">Declare expiry</t>
  </si>
  <si>
    <t xml:space="preserve">When I POST /api/customer/expiry with expiryDate "2027-02-14" and insurer "PTI"</t>
  </si>
  <si>
    <t xml:space="preserve">Then my profile expiry becomes "2027-02-14" (customer_declared) and my journey and touchpoints are re-planned</t>
  </si>
  <si>
    <t xml:space="preserve">FR-076</t>
  </si>
  <si>
    <t xml:space="preserve">FTC-064</t>
  </si>
  <si>
    <t xml:space="preserve">US-039: Renew in one tap with my VETC wallet</t>
  </si>
  <si>
    <t xml:space="preserve">Happy path</t>
  </si>
  <si>
    <t xml:space="preserve">Given my current TNDS ends 2026-11-30 and my category is car_under6</t>
  </si>
  <si>
    <t xml:space="preserve">When I request a TNDS_CAR quote
When I confirm with an Idempotency-Key</t>
  </si>
  <si>
    <t xml:space="preserve">Then the start date is 2026-12-01 and total is 480,700 VND (437,000 + 43,700 VAT)
Then my wallet is debited once, a policy with certificate number "TAS-…" is issued and my journeys stop</t>
  </si>
  <si>
    <t xml:space="preserve">FR-046, FR-047, FR-049, FR-053, FR-056, FR-077</t>
  </si>
  <si>
    <t xml:space="preserve">FTC-065</t>
  </si>
  <si>
    <t xml:space="preserve">Double tap</t>
  </si>
  <si>
    <t xml:space="preserve">When the same order request is retried with the same Idempotency-Key</t>
  </si>
  <si>
    <t xml:space="preserve">Then the original order is returned with idempotentReplay = true and no second debit occurs</t>
  </si>
  <si>
    <t xml:space="preserve">FTC-066</t>
  </si>
  <si>
    <t xml:space="preserve">Expired quote</t>
  </si>
  <si>
    <t xml:space="preserve">Given the quote was created more than 24 hours ago</t>
  </si>
  <si>
    <t xml:space="preserve">Then purchase fails with "Quote expired — please re-quote"</t>
  </si>
  <si>
    <t xml:space="preserve">FTC-067</t>
  </si>
  <si>
    <t xml:space="preserve">US-040: Prove I am insured</t>
  </si>
  <si>
    <t xml:space="preserve">Verification without PII</t>
  </si>
  <si>
    <t xml:space="preserve">Given my certificate "TAS-TNDSCA-2026-100123" is active today</t>
  </si>
  <si>
    <t xml:space="preserve">When anyone opens /verify/TAS-TNDSCA-2026-100123</t>
  </si>
  <si>
    <t xml:space="preserve">Then they see valid = true, product, masked plate "30A-***.45", insurer "TASCO Insurance", start and end date
And no name or phone is shown</t>
  </si>
  <si>
    <t xml:space="preserve">FR-027, FR-050</t>
  </si>
  <si>
    <t xml:space="preserve">FTC-068</t>
  </si>
  <si>
    <t xml:space="preserve">Unknown certificate</t>
  </si>
  <si>
    <t xml:space="preserve">Then valid = false with reason "not_found"</t>
  </si>
  <si>
    <t xml:space="preserve">FTC-069</t>
  </si>
  <si>
    <t xml:space="preserve">US-041: Buy for several years</t>
  </si>
  <si>
    <t xml:space="preserve">Multi-year</t>
  </si>
  <si>
    <t xml:space="preserve">When I request a TNDS_CAR quote with termYears 3</t>
  </si>
  <si>
    <t xml:space="preserve">Then the premium equals annual × (days in term ÷ 365) with VAT 10%, and the end date is 3 years after start</t>
  </si>
  <si>
    <t xml:space="preserve">FR-046, FR-053</t>
  </si>
  <si>
    <t xml:space="preserve">FTC-070</t>
  </si>
  <si>
    <t xml:space="preserve">Out of range</t>
  </si>
  <si>
    <t xml:space="preserve">When I request termYears 4</t>
  </si>
  <si>
    <t xml:space="preserve">Then the request fails validation (1..3)</t>
  </si>
  <si>
    <t xml:space="preserve">FTC-071</t>
  </si>
  <si>
    <t xml:space="preserve">US-042: Don't lose my money if issuance fails</t>
  </si>
  <si>
    <t xml:space="preserve">Issuance failure after payment</t>
  </si>
  <si>
    <t xml:space="preserve">Given the wallet debit succeeded and TASCO core issuance fails</t>
  </si>
  <si>
    <t xml:space="preserve">Then the payment is refunded, the order status is "issuance_failed_refunded" and "order.issuance_failed" is audited</t>
  </si>
  <si>
    <t xml:space="preserve">FR-048</t>
  </si>
  <si>
    <t xml:space="preserve">FTC-072</t>
  </si>
  <si>
    <t xml:space="preserve">US-043: Relevant benefits, not discounts</t>
  </si>
  <si>
    <t xml:space="preserve">long-haul driver (PC-2)</t>
  </si>
  <si>
    <t xml:space="preserve">Personalised ranking</t>
  </si>
  <si>
    <t xml:space="preserve">Given I drove 2,400 km on highways in 90 days and made 40 toll trips in 30 days</t>
  </si>
  <si>
    <t xml:space="preserve">Then "24/7 roadside assistance" ranks first with why "drives 2400 km on highways per quarter"</t>
  </si>
  <si>
    <t xml:space="preserve">FR-058, FR-059</t>
  </si>
  <si>
    <t xml:space="preserve">FTC-073</t>
  </si>
  <si>
    <t xml:space="preserve">Legal gating</t>
  </si>
  <si>
    <t xml:space="preserve">Given "loyalty_points" has legalStatus "pending_legal_review"</t>
  </si>
  <si>
    <t xml:space="preserve">Then it is never returned by /api/customer/home
But staff see it flagged in Customer 360</t>
  </si>
  <si>
    <t xml:space="preserve">FTC-074</t>
  </si>
  <si>
    <t xml:space="preserve">US-044: Protect my passengers in the same checkout</t>
  </si>
  <si>
    <t xml:space="preserve">family car owner (PC-1, 7 seats)</t>
  </si>
  <si>
    <t xml:space="preserve">PA add-on</t>
  </si>
  <si>
    <t xml:space="preserve">When I quote TNDS_CAR with PA_SEAT (7 seats × 10,000,000)</t>
  </si>
  <si>
    <t xml:space="preserve">Then the PA line premium is 70,000 VND with VAT 0
And the benefit "upsell_pa_seat" explains "family-size vehicle — passengers are not covered by TNDS"</t>
  </si>
  <si>
    <t xml:space="preserve">FR-046, FR-055</t>
  </si>
  <si>
    <t xml:space="preserve">FTC-075</t>
  </si>
  <si>
    <t xml:space="preserve">US-045: Quote own-damage cover</t>
  </si>
  <si>
    <t xml:space="preserve">PD rating</t>
  </si>
  <si>
    <t xml:space="preserve">Given my car is 2 years old, personal use</t>
  </si>
  <si>
    <t xml:space="preserve">When I quote MOTOR_PD with sumInsured 700,000,000 and deductible 1,000,000</t>
  </si>
  <si>
    <t xml:space="preserve">Then net premium is 700,000,000 × 1.5% × (1 − 10%) = 9,450,000 VND plus 10% VAT</t>
  </si>
  <si>
    <t xml:space="preserve">FR-054</t>
  </si>
  <si>
    <t xml:space="preserve">FTC-076</t>
  </si>
  <si>
    <t xml:space="preserve">Referral above the online limit</t>
  </si>
  <si>
    <t xml:space="preserve">When sumInsured is 6,000,000,000</t>
  </si>
  <si>
    <t xml:space="preserve">Then the quote fails with "Sum insured exceeds the online limit — refer to underwriter"</t>
  </si>
  <si>
    <t xml:space="preserve">FTC-077</t>
  </si>
  <si>
    <t xml:space="preserve">US-046: Offer the upgrade after purchase</t>
  </si>
  <si>
    <t xml:space="preserve">Cross-sell scheduled</t>
  </si>
  <si>
    <t xml:space="preserve">Given a customer with marketing consent bought TNDS only</t>
  </si>
  <si>
    <t xml:space="preserve">When policy.issued is processed</t>
  </si>
  <si>
    <t xml:space="preserve">Then a "cross_sell" touchpoint is scheduled for tomorrow on app_push/zalo_zns</t>
  </si>
  <si>
    <t xml:space="preserve">FR-028</t>
  </si>
  <si>
    <t xml:space="preserve">FTC-078</t>
  </si>
  <si>
    <t xml:space="preserve">Already bought add-ons or no consent</t>
  </si>
  <si>
    <t xml:space="preserve">Given the order included PA_SEAT, or consent.marketing = false</t>
  </si>
  <si>
    <t xml:space="preserve">Then no cross_sell touchpoint is scheduled</t>
  </si>
  <si>
    <t xml:space="preserve">FTC-079</t>
  </si>
  <si>
    <t xml:space="preserve">US-047: Loyalty and referral only when lawful</t>
  </si>
  <si>
    <t xml:space="preserve">Referral disabled</t>
  </si>
  <si>
    <t xml:space="preserve">Given referral.enabled = false and legalStatus "pending_legal_review"</t>
  </si>
  <si>
    <t xml:space="preserve">When legal approves and a new referral version with enabled = true is approved by a second user</t>
  </si>
  <si>
    <t xml:space="preserve">Then no referral offer appears in any customer channel
Then referral rewards are non-cash VETC points only, max 5 referrals per month</t>
  </si>
  <si>
    <t xml:space="preserve">FR-060</t>
  </si>
  <si>
    <t xml:space="preserve">Could</t>
  </si>
  <si>
    <t xml:space="preserve">FTC-080</t>
  </si>
  <si>
    <t xml:space="preserve">US-048: Never lapse with auto-renew (planned)</t>
  </si>
  <si>
    <t xml:space="preserve">customer with wallet auto top-up (PC-2)</t>
  </si>
  <si>
    <t xml:space="preserve">Confirm-before-debit</t>
  </si>
  <si>
    <t xml:space="preserve">Given I opted in to auto-renew</t>
  </si>
  <si>
    <t xml:space="preserve">When my expiry is 7 days away</t>
  </si>
  <si>
    <t xml:space="preserve">Then I receive a confirmation request in the VETC app
And my wallet is debited only after I confirm
And if I do not confirm, no debit happens and normal reminders continue</t>
  </si>
  <si>
    <t xml:space="preserve">FR-061</t>
  </si>
  <si>
    <t xml:space="preserve">FTC-081</t>
  </si>
  <si>
    <t xml:space="preserve">US-049: Onboard a partner</t>
  </si>
  <si>
    <t xml:space="preserve">partner manager (PS-08)</t>
  </si>
  <si>
    <t xml:space="preserve">Onboard and issue key</t>
  </si>
  <si>
    <t xml:space="preserve">When I POST /api/partners with name "ABC Showroom", type "showroom", region "Hà Nội"
When I POST /api/partners/{id}/keys</t>
  </si>
  <si>
    <t xml:space="preserve">Then a partner "P-XXXXXXXX" with status "active" exists
Then a key starting "tpk_" is shown once, only its hash and an 8-character prefix are stored, and "partner.api_key_issued" is audited</t>
  </si>
  <si>
    <t xml:space="preserve">FR-063, FR-064, FR-095</t>
  </si>
  <si>
    <t xml:space="preserve">test/functional/ep09-15-partners-claims-privacy-governance.test.js</t>
  </si>
  <si>
    <t xml:space="preserve">FTC-082</t>
  </si>
  <si>
    <t xml:space="preserve">US-050: Quote a brand-new car at the showroom</t>
  </si>
  <si>
    <t xml:space="preserve">showroom salesperson using the partner API (PS-09)</t>
  </si>
  <si>
    <t xml:space="preserve">Unknown plate becomes a new profile</t>
  </si>
  <si>
    <t xml:space="preserve">Given plate "51K-888.99" is not in the VETC base</t>
  </si>
  <si>
    <t xml:space="preserve">When I POST /api/partner/v1/quotes with plate, holderName, phone, seats 5, usage "personal", consentMarketing true and product TNDS_CAR</t>
  </si>
  <si>
    <t xml:space="preserve">Then a partner_showroom source record is ingested and a profile "51K88899" is created
And a quote with channel "partner_api" and my partnerId is returned</t>
  </si>
  <si>
    <t xml:space="preserve">FR-065</t>
  </si>
  <si>
    <t xml:space="preserve">FTC-083</t>
  </si>
  <si>
    <t xml:space="preserve">Product not sold on partner channel</t>
  </si>
  <si>
    <t xml:space="preserve">When I quote TNDS_MOTORBIKE</t>
  </si>
  <si>
    <t xml:space="preserve">Then the request fails with "TNDS_MOTORBIKE is not sold on channel partner_api"</t>
  </si>
  <si>
    <t xml:space="preserve">FTC-084</t>
  </si>
  <si>
    <t xml:space="preserve">US-051: Bind safely</t>
  </si>
  <si>
    <t xml:space="preserve">bank partner integration (PS-09)</t>
  </si>
  <si>
    <t xml:space="preserve">Own quote</t>
  </si>
  <si>
    <t xml:space="preserve">When I POST /api/partner/v1/orders with my quoteId and an Idempotency-Key</t>
  </si>
  <si>
    <t xml:space="preserve">Then the policy is issued and the order records my commission lines</t>
  </si>
  <si>
    <t xml:space="preserve">FR-047, FR-066</t>
  </si>
  <si>
    <t xml:space="preserve">FTC-085</t>
  </si>
  <si>
    <t xml:space="preserve">Another partner's quote</t>
  </si>
  <si>
    <t xml:space="preserve">When I bind a quote created by another partner</t>
  </si>
  <si>
    <t xml:space="preserve">Then I receive 404 "Quote not found"</t>
  </si>
  <si>
    <t xml:space="preserve">FTC-086</t>
  </si>
  <si>
    <t xml:space="preserve">US-052: Transparent commission</t>
  </si>
  <si>
    <t xml:space="preserve">partner (PS-09)</t>
  </si>
  <si>
    <t xml:space="preserve">Statement</t>
  </si>
  <si>
    <t xml:space="preserve">Given I sold one TNDS_CAR (net 437,000) and one PA_SEAT (net 100,000) as a showroom</t>
  </si>
  <si>
    <t xml:space="preserve">When I GET /api/partner/v1/statement?from=2026-10-01&amp;to=2026-10-31</t>
  </si>
  <si>
    <t xml:space="preserve">Then lines show TNDS 5% = 21,850 and PA 15% = 15,000, total 36,850 VND</t>
  </si>
  <si>
    <t xml:space="preserve">FR-067, FR-068, FR-069</t>
  </si>
  <si>
    <t xml:space="preserve">FTC-087</t>
  </si>
  <si>
    <t xml:space="preserve">Cap enforced</t>
  </si>
  <si>
    <t xml:space="preserve">Given a draft commission rule sets TNDS rate 0.07</t>
  </si>
  <si>
    <t xml:space="preserve">Then validation fails with "exceeds statutory cap 0.05 for TNDS_CAR"</t>
  </si>
  <si>
    <t xml:space="preserve">FTC-088</t>
  </si>
  <si>
    <t xml:space="preserve">US-053: Suspend a partner</t>
  </si>
  <si>
    <t xml:space="preserve">Suspension blocks API access</t>
  </si>
  <si>
    <t xml:space="preserve">When I PATCH /api/partners/{id} with status "suspended"</t>
  </si>
  <si>
    <t xml:space="preserve">Then subsequent calls with that partner's keys are rejected as unauthenticated</t>
  </si>
  <si>
    <t xml:space="preserve">FR-063</t>
  </si>
  <si>
    <t xml:space="preserve">FTC-089</t>
  </si>
  <si>
    <t xml:space="preserve">US-054: Route company vehicles to account management</t>
  </si>
  <si>
    <t xml:space="preserve">fleet manager (PC-5)</t>
  </si>
  <si>
    <t xml:space="preserve">Fleet routing</t>
  </si>
  <si>
    <t xml:space="preserve">Given a profile with ownerType "company"</t>
  </si>
  <si>
    <t xml:space="preserve">Then its NBA is "route_b2b"
And it is skipped by /api/voice/campaign</t>
  </si>
  <si>
    <t xml:space="preserve">FR-015, FR-038, FR-070</t>
  </si>
  <si>
    <t xml:space="preserve">FTC-090</t>
  </si>
  <si>
    <t xml:space="preserve">No B2C journeys for fleet (target behaviour)</t>
  </si>
  <si>
    <t xml:space="preserve">Then company-owned vehicles are not enrolled in renewal or conquest B2C journeys
# Not yet enforced by journeys.json audiences — see doc 05 E-07</t>
  </si>
  <si>
    <t xml:space="preserve">FTC-091</t>
  </si>
  <si>
    <t xml:space="preserve">US-055: Fleet renewal dashboard (planned)</t>
  </si>
  <si>
    <t xml:space="preserve">Fleet view</t>
  </si>
  <si>
    <t xml:space="preserve">Given my company has 40 vehicles in the VETC base</t>
  </si>
  <si>
    <t xml:space="preserve">When I open the fleet dashboard</t>
  </si>
  <si>
    <t xml:space="preserve">Then I see each plate's cover status and expiry, sorted by soonest expiry
And I can renew a selection in one order and receive one consolidated VAT invoice</t>
  </si>
  <si>
    <t xml:space="preserve">consolidated fleet dashboard is on the roadmap (benefit marked available=false)</t>
  </si>
  <si>
    <t xml:space="preserve">FR-070</t>
  </si>
  <si>
    <t xml:space="preserve">FTC-092</t>
  </si>
  <si>
    <t xml:space="preserve">US-056: Report an accident from the app</t>
  </si>
  <si>
    <t xml:space="preserve">Valid FNOL</t>
  </si>
  <si>
    <t xml:space="preserve">Given I hold active policy "TAS-TNDSCA-2026-100123" valid from 2026-01-01 to 2026-12-31</t>
  </si>
  <si>
    <t xml:space="preserve">When I POST /api/customer/claims with incidentDate "2026-10-05", description, location and photos 3</t>
  </si>
  <si>
    <t xml:space="preserve">Then a claim "CL-XXXXXXXX" with status "submitted" and slaDueAt = now + 4 hours is created</t>
  </si>
  <si>
    <t xml:space="preserve">FR-071</t>
  </si>
  <si>
    <t xml:space="preserve">FTC-093</t>
  </si>
  <si>
    <t xml:space="preserve">Outside policy period</t>
  </si>
  <si>
    <t xml:space="preserve">When incidentDate is "2027-02-01"</t>
  </si>
  <si>
    <t xml:space="preserve">Then the request fails with "Incident date is outside the policy period"</t>
  </si>
  <si>
    <t xml:space="preserve">FTC-094</t>
  </si>
  <si>
    <t xml:space="preserve">Not my policy</t>
  </si>
  <si>
    <t xml:space="preserve">When I reference another customer's policy</t>
  </si>
  <si>
    <t xml:space="preserve">Then I receive 404 "Policy not found"</t>
  </si>
  <si>
    <t xml:space="preserve">FTC-095</t>
  </si>
  <si>
    <t xml:space="preserve">US-057: Progress a claim</t>
  </si>
  <si>
    <t xml:space="preserve">claims handler (PS-07)</t>
  </si>
  <si>
    <t xml:space="preserve">Valid transition</t>
  </si>
  <si>
    <t xml:space="preserve">Given claim status "submitted"</t>
  </si>
  <si>
    <t xml:space="preserve">When I PATCH status "acknowledged" with a note</t>
  </si>
  <si>
    <t xml:space="preserve">Then history records the transition with my id and "claim.status_changed" is audited</t>
  </si>
  <si>
    <t xml:space="preserve">FR-072</t>
  </si>
  <si>
    <t xml:space="preserve">FTC-096</t>
  </si>
  <si>
    <t xml:space="preserve">Skipping steps</t>
  </si>
  <si>
    <t xml:space="preserve">When I PATCH a "submitted" claim to "paid"</t>
  </si>
  <si>
    <t xml:space="preserve">Then it fails with "Cannot move claim from submitted to paid"</t>
  </si>
  <si>
    <t xml:space="preserve">FTC-097</t>
  </si>
  <si>
    <t xml:space="preserve">US-058: Track my claim</t>
  </si>
  <si>
    <t xml:space="preserve">My claims only</t>
  </si>
  <si>
    <t xml:space="preserve">When I GET /api/customer/claims</t>
  </si>
  <si>
    <t xml:space="preserve">Then only claims for my profile are returned with current status and history</t>
  </si>
  <si>
    <t xml:space="preserve">FR-073</t>
  </si>
  <si>
    <t xml:space="preserve">FTC-098</t>
  </si>
  <si>
    <t xml:space="preserve">US-059: Control how VETC contacts me</t>
  </si>
  <si>
    <t xml:space="preserve">Withdraw call consent</t>
  </si>
  <si>
    <t xml:space="preserve">When I PUT /api/customer/consent with call = false</t>
  </si>
  <si>
    <t xml:space="preserve">Then no voice_bot or telesales contact is made to me
And the change is audited as "consent.updated" and survives source reloads</t>
  </si>
  <si>
    <t xml:space="preserve">FR-078</t>
  </si>
  <si>
    <t xml:space="preserve">FTC-099</t>
  </si>
  <si>
    <t xml:space="preserve">US-060: Download my data</t>
  </si>
  <si>
    <t xml:space="preserve">Self-service export</t>
  </si>
  <si>
    <t xml:space="preserve">When I GET /api/customer/data-export</t>
  </si>
  <si>
    <t xml:space="preserve">Then I receive my profile, lead, policies, messages, source records (without internal hidden fields) and voice sessions
And "dsar.access_exported" is audited</t>
  </si>
  <si>
    <t xml:space="preserve">FR-079</t>
  </si>
  <si>
    <t xml:space="preserve">FTC-100</t>
  </si>
  <si>
    <t xml:space="preserve">US-061: Erase personal data lawfully</t>
  </si>
  <si>
    <t xml:space="preserve">Active policy blocks erasure</t>
  </si>
  <si>
    <t xml:space="preserve">Given the customer has an active policy</t>
  </si>
  <si>
    <t xml:space="preserve">When I POST /api/dsar/{id}/erase</t>
  </si>
  <si>
    <t xml:space="preserve">Then it fails with "Active policy in force — personal data must be retained until expiry (legal obligation)"</t>
  </si>
  <si>
    <t xml:space="preserve">FR-080</t>
  </si>
  <si>
    <t xml:space="preserve">FTC-101</t>
  </si>
  <si>
    <t xml:space="preserve">Erasure</t>
  </si>
  <si>
    <t xml:space="preserve">Given no active policy</t>
  </si>
  <si>
    <t xml:space="preserve">When I erase</t>
  </si>
  <si>
    <t xml:space="preserve">Then name and phone are removed, consent becomes dnc, the lead is deleted, message text is "[erased]", transcripts are emptied
And PII in handoffs and claims is also scrubbed  # target — see doc 05 E-19</t>
  </si>
  <si>
    <t xml:space="preserve">FTC-102</t>
  </si>
  <si>
    <t xml:space="preserve">US-062: See only what my role needs</t>
  </si>
  <si>
    <t xml:space="preserve">campaign manager (PS-03) without PII permission</t>
  </si>
  <si>
    <t xml:space="preserve">Masking</t>
  </si>
  <si>
    <t xml:space="preserve">Given I lack "profile:read_pii"</t>
  </si>
  <si>
    <t xml:space="preserve">When I GET /api/customers/{id}</t>
  </si>
  <si>
    <t xml:space="preserve">Then name and phone are masked and piiMasked = true
And "profile.viewed" is audited with piiVisible = false</t>
  </si>
  <si>
    <t xml:space="preserve">FR-081, FR-097</t>
  </si>
  <si>
    <t xml:space="preserve">FTC-103</t>
  </si>
  <si>
    <t xml:space="preserve">US-063: Change scoring without a release</t>
  </si>
  <si>
    <t xml:space="preserve">rule author (PS-04)</t>
  </si>
  <si>
    <t xml:space="preserve">Invalid weights rejected</t>
  </si>
  <si>
    <t xml:space="preserve">When I POST /api/rules/validate for kind "scoring" with weights summing to 95</t>
  </si>
  <si>
    <t xml:space="preserve">Then errors include "factor weights must sum to 100 (got 95)"</t>
  </si>
  <si>
    <t xml:space="preserve">FR-057, FR-082, FR-083, FR-084</t>
  </si>
  <si>
    <t xml:space="preserve">FTC-104</t>
  </si>
  <si>
    <t xml:space="preserve">Valid draft</t>
  </si>
  <si>
    <t xml:space="preserve">When I POST /api/rules with a valid scoring payload</t>
  </si>
  <si>
    <t xml:space="preserve">Then a version "scoring@2" with status "draft" and a checksum is created and audited</t>
  </si>
  <si>
    <t xml:space="preserve">FTC-105</t>
  </si>
  <si>
    <t xml:space="preserve">US-064: Simulate before I submit</t>
  </si>
  <si>
    <t xml:space="preserve">Current vs candidate</t>
  </si>
  <si>
    <t xml:space="preserve">When I POST /api/rules/simulate with profileId, kind "nba" and a candidate payload</t>
  </si>
  <si>
    <t xml:space="preserve">Then the response contains "current" and "candidate" evaluations (journey, score, tier, reasons, nextBestAction, benefits)</t>
  </si>
  <si>
    <t xml:space="preserve">FR-085</t>
  </si>
  <si>
    <t xml:space="preserve">FTC-106</t>
  </si>
  <si>
    <t xml:space="preserve">US-065: Four-eyes approval</t>
  </si>
  <si>
    <t xml:space="preserve">compliance approver (PS-05)</t>
  </si>
  <si>
    <t xml:space="preserve">Self-approval forbidden</t>
  </si>
  <si>
    <t xml:space="preserve">Given "author" submitted "scoring@2"</t>
  </si>
  <si>
    <t xml:space="preserve">When "author" tries to approve it</t>
  </si>
  <si>
    <t xml:space="preserve">Then the response is 403 "Maker-checker: you cannot approve your own change"</t>
  </si>
  <si>
    <t xml:space="preserve">FR-086</t>
  </si>
  <si>
    <t xml:space="preserve">FTC-107</t>
  </si>
  <si>
    <t xml:space="preserve">Approval activates and retires</t>
  </si>
  <si>
    <t xml:space="preserve">When "approver" approves with comment "OK per campaign review"</t>
  </si>
  <si>
    <t xml:space="preserve">Then "scoring@2" is active, "scoring@1" is retired with supersededBy "scoring@2"
And all replicas use the new version within 15 seconds</t>
  </si>
  <si>
    <t xml:space="preserve">FTC-108</t>
  </si>
  <si>
    <t xml:space="preserve">US-066: Roll back quickly</t>
  </si>
  <si>
    <t xml:space="preserve">Rollback is a governed change</t>
  </si>
  <si>
    <t xml:space="preserve">When I POST /api/rules/scoring@1/rollback</t>
  </si>
  <si>
    <t xml:space="preserve">Then a new draft "scoring@3" with the payload of scoring@1 is created
And it requires submission and approval by another user</t>
  </si>
  <si>
    <t xml:space="preserve">FR-087</t>
  </si>
  <si>
    <t xml:space="preserve">FTC-109</t>
  </si>
  <si>
    <t xml:space="preserve">US-067: Copy guard on content changes</t>
  </si>
  <si>
    <t xml:space="preserve">Banned phrase in template</t>
  </si>
  <si>
    <t xml:space="preserve">When I create a "content.messages" draft containing "Giảm giá 10% khi gia hạn"</t>
  </si>
  <si>
    <t xml:space="preserve">Then the draft is rejected with a copy guard error naming "giảm giá"</t>
  </si>
  <si>
    <t xml:space="preserve">FR-024, FR-083</t>
  </si>
  <si>
    <t xml:space="preserve">FTC-110</t>
  </si>
  <si>
    <t xml:space="preserve">US-068: Commission within the law</t>
  </si>
  <si>
    <t xml:space="preserve">Cap</t>
  </si>
  <si>
    <t xml:space="preserve">When a commission draft sets PA_SEAT rate 0.25 with cap 0.2</t>
  </si>
  <si>
    <t xml:space="preserve">Then validation fails</t>
  </si>
  <si>
    <t xml:space="preserve">FR-068, FR-083</t>
  </si>
  <si>
    <t xml:space="preserve">FTC-111</t>
  </si>
  <si>
    <t xml:space="preserve">US-069: Strong sign-in for privileged roles</t>
  </si>
  <si>
    <t xml:space="preserve">rule approver (PS-05)</t>
  </si>
  <si>
    <t xml:space="preserve">Two-step login</t>
  </si>
  <si>
    <t xml:space="preserve">When I POST /api/auth/login with correct credentials
When I POST /api/auth/mfa with a valid TOTP code</t>
  </si>
  <si>
    <t xml:space="preserve">Then I receive mfaRequired = true and a 5-minute mfaToken
Then I receive a 30-minute access token with amr ["pwd","otp"]</t>
  </si>
  <si>
    <t xml:space="preserve">FR-089, FR-090, FR-091</t>
  </si>
  <si>
    <t xml:space="preserve">FTC-112</t>
  </si>
  <si>
    <t xml:space="preserve">Privileged role without MFA enrolment</t>
  </si>
  <si>
    <t xml:space="preserve">Given a data_steward account with no TOTP secret</t>
  </si>
  <si>
    <t xml:space="preserve">Then login fails with "MFA enrolment required for your role"</t>
  </si>
  <si>
    <t xml:space="preserve">FTC-113</t>
  </si>
  <si>
    <t xml:space="preserve">US-070: Lock out brute force</t>
  </si>
  <si>
    <t xml:space="preserve">security officer (PS-12)</t>
  </si>
  <si>
    <t xml:space="preserve">Lockout</t>
  </si>
  <si>
    <t xml:space="preserve">When 5 wrong passwords are submitted for "agent.hn"</t>
  </si>
  <si>
    <t xml:space="preserve">Then the 6th attempt within 15 minutes returns "locked" even with the right password
And each failure is audited as "auth.login_failed"</t>
  </si>
  <si>
    <t xml:space="preserve">FR-089</t>
  </si>
  <si>
    <t xml:space="preserve">FTC-114</t>
  </si>
  <si>
    <t xml:space="preserve">US-071: Manage users with segregation of duties</t>
  </si>
  <si>
    <t xml:space="preserve">platform admin (PS-12)</t>
  </si>
  <si>
    <t xml:space="preserve">Create agent</t>
  </si>
  <si>
    <t xml:space="preserve">When I POST /api/users with username "agent.dn", roles ["telesales_agent"], region "Đà Nẵng" and a 14-character password</t>
  </si>
  <si>
    <t xml:space="preserve">Then the user exists and "user.created" is audited</t>
  </si>
  <si>
    <t xml:space="preserve">FR-092, FR-094, FR-096</t>
  </si>
  <si>
    <t xml:space="preserve">FTC-115</t>
  </si>
  <si>
    <t xml:space="preserve">Weak password</t>
  </si>
  <si>
    <t xml:space="preserve">When the password has 8 characters</t>
  </si>
  <si>
    <t xml:space="preserve">Then validation fails with "at least 12 characters"</t>
  </si>
  <si>
    <t xml:space="preserve">FTC-116</t>
  </si>
  <si>
    <t xml:space="preserve">Admin cannot read PII or approve rules</t>
  </si>
  <si>
    <t xml:space="preserve">Given I am admin</t>
  </si>
  <si>
    <t xml:space="preserve">When I GET /api/customers/{id} or approve a rule</t>
  </si>
  <si>
    <t xml:space="preserve">Then I receive 403</t>
  </si>
  <si>
    <t xml:space="preserve">FTC-117</t>
  </si>
  <si>
    <t xml:space="preserve">US-072: Prove the audit trail is intact</t>
  </si>
  <si>
    <t xml:space="preserve">internal auditor (PS-13)</t>
  </si>
  <si>
    <t xml:space="preserve">Verify</t>
  </si>
  <si>
    <t xml:space="preserve">When I GET /api/audit/verify</t>
  </si>
  <si>
    <t xml:space="preserve">Then the result is ok = true with the number of entries and the head hash</t>
  </si>
  <si>
    <t xml:space="preserve">FR-098, FR-099</t>
  </si>
  <si>
    <t xml:space="preserve">FTC-118</t>
  </si>
  <si>
    <t xml:space="preserve">Tampering detected</t>
  </si>
  <si>
    <t xml:space="preserve">Given an audit entry's details were altered in the database</t>
  </si>
  <si>
    <t xml:space="preserve">Then verify returns ok = false with brokenAt = &lt;index&gt; and reason "hash mismatch"</t>
  </si>
  <si>
    <t xml:space="preserve">FTC-119</t>
  </si>
  <si>
    <t xml:space="preserve">US-073: See growth and economics at a glance</t>
  </si>
  <si>
    <t xml:space="preserve">executive (PS-10)</t>
  </si>
  <si>
    <t xml:space="preserve">Overview</t>
  </si>
  <si>
    <t xml:space="preserve">When I GET /api/dashboard/overview</t>
  </si>
  <si>
    <t xml:space="preserve">Then I see base size, expiring in 30 days, lapsed (≤ 60 days), orders and premium by journey and channel, active policies by product
And economics: voice bot cost = calls × 1,500 × 1.6, telesales-equivalent = calls × 6,000 × 4.5, and the saving</t>
  </si>
  <si>
    <t xml:space="preserve">FR-100</t>
  </si>
  <si>
    <t xml:space="preserve">FTC-120</t>
  </si>
  <si>
    <t xml:space="preserve">US-074: Keep integrations healthy</t>
  </si>
  <si>
    <t xml:space="preserve">support engineer (PS-11)</t>
  </si>
  <si>
    <t xml:space="preserve">When I GET /api/ops/status</t>
  </si>
  <si>
    <t xml:space="preserve">Then I see circuit state for vetc-wallet, tasco-core, voice-ai, app-push, zalo-zns and sms, active rule versions with checksums and the event backlog</t>
  </si>
  <si>
    <t xml:space="preserve">FR-052, FR-103, FR-104</t>
  </si>
  <si>
    <t xml:space="preserve">FTC-121</t>
  </si>
  <si>
    <t xml:space="preserve">Reconciliation</t>
  </si>
  <si>
    <t xml:space="preserve">When I POST /api/ops/jobs/reconciliation</t>
  </si>
  <si>
    <t xml:space="preserve">Then a job run is recorded with checked count and any mismatches (missing payment ref, missing policy, stuck &gt; 1h)</t>
  </si>
  <si>
    <t xml:space="preserve">FTC-122</t>
  </si>
  <si>
    <t xml:space="preserve">US-075: Apply data retention</t>
  </si>
  <si>
    <t xml:space="preserve">Retention job</t>
  </si>
  <si>
    <t xml:space="preserve">When the retention job runs</t>
  </si>
  <si>
    <t xml:space="preserve">Then source records older than 365 days and voice sessions older than 180 days are deleted
And the job result lists each entity's action and cutoff date</t>
  </si>
  <si>
    <t xml:space="preserve">FR-105</t>
  </si>
  <si>
    <t xml:space="preserve">FTC-123</t>
  </si>
  <si>
    <t xml:space="preserve">US-076: Work in my language</t>
  </si>
  <si>
    <t xml:space="preserve">Language toggle</t>
  </si>
  <si>
    <t xml:space="preserve">When I switch to "VI"</t>
  </si>
  <si>
    <t xml:space="preserve">Then all labels, help text and dates (dd/mm/yyyy) appear in Vietnamese without reloading
And my choice is remembered on this device</t>
  </si>
  <si>
    <t xml:space="preserve">UI behaviour, verified manually / in UAT (VI ⇄ EN on staff console)</t>
  </si>
  <si>
    <t xml:space="preserve">FR-108, FR-110</t>
  </si>
  <si>
    <t xml:space="preserve">FTC-124</t>
  </si>
  <si>
    <t xml:space="preserve">US-077: Verify a certificate at the roadside</t>
  </si>
  <si>
    <t xml:space="preserve">traffic police officer or inspection-centre clerk (external)</t>
  </si>
  <si>
    <t xml:space="preserve">Scan</t>
  </si>
  <si>
    <t xml:space="preserve">When I scan the QR on the e-certificate</t>
  </si>
  <si>
    <t xml:space="preserve">Then /verify/{certNo} shows VALID or NOT VALID, product, masked plate, insurer and validity dates, in Vietnamese by default
And the page works on a basic mobile browser without login</t>
  </si>
  <si>
    <t xml:space="preserve">physical QR scan of an e-certificate with a phone camera, verified in UAT</t>
  </si>
  <si>
    <t xml:space="preserve">FR-050, FR-109</t>
  </si>
  <si>
    <t xml:space="preserve">TASCO Growth Platform — Test Cases, Conditions &amp; Results</t>
  </si>
  <si>
    <t xml:space="preserve">Execution run: 2026-10-07 · Build: branch claude/funny-cori-med8ed · Environment: CI-equivalent (Node 22, PostgreSQL 16, in-memory store for unit/API). Status legend in the "Read Me" sheet.</t>
  </si>
  <si>
    <t xml:space="preserve">Test Case ID</t>
  </si>
  <si>
    <t xml:space="preserve">Pre-conditions / Test Conditions</t>
  </si>
  <si>
    <t xml:space="preserve">Test Steps / Test Data</t>
  </si>
  <si>
    <t xml:space="preserve">Expected Result</t>
  </si>
  <si>
    <t xml:space="preserve">Test Type</t>
  </si>
  <si>
    <t xml:space="preserve">Automation / Evidence</t>
  </si>
  <si>
    <t xml:space="preserve">Known Issue Ref</t>
  </si>
  <si>
    <t xml:space="preserve">Executed By</t>
  </si>
  <si>
    <t xml:space="preserve">Environment</t>
  </si>
  <si>
    <t xml:space="preserve">TC-001</t>
  </si>
  <si>
    <t xml:space="preserve">Password login for a role without MFA</t>
  </si>
  <si>
    <t xml:space="preserve">Demo seed; user exec</t>
  </si>
  <si>
    <t xml:space="preserve">POST /api/auth/login {username:"exec", password:&lt;demo&gt;}</t>
  </si>
  <si>
    <t xml:space="preserve">200; accessToken, expiresIn=1800, user.permissions contains dashboard:read; audit auth.login</t>
  </si>
  <si>
    <t xml:space="preserve">As expected. Evidence: test/api/api.test.js (9/9 passed)</t>
  </si>
  <si>
    <t xml:space="preserve">test/api/api.test.js</t>
  </si>
  <si>
    <t xml:space="preserve">Automated (CI)</t>
  </si>
  <si>
    <t xml:space="preserve">CI (Node 22 / PostgreSQL 16)</t>
  </si>
  <si>
    <t xml:space="preserve">TC-002</t>
  </si>
  <si>
    <t xml:space="preserve">MFA challenge for an MFA-required role</t>
  </si>
  <si>
    <t xml:space="preserve">User admin (TOTP enrolled)</t>
  </si>
  <si>
    <t xml:space="preserve">Login with the correct password</t>
  </si>
  <si>
    <t xml:space="preserve">200 {mfaRequired:true, mfaToken}; no accessToken</t>
  </si>
  <si>
    <t xml:space="preserve">TC-003</t>
  </si>
  <si>
    <t xml:space="preserve">Complete MFA with a valid TOTP</t>
  </si>
  <si>
    <t xml:space="preserve">TC-002 done</t>
  </si>
  <si>
    <t xml:space="preserve">POST /api/auth/mfa {mfaToken, code:totp(secret)}</t>
  </si>
  <si>
    <t xml:space="preserve">200; token claims amr:["pwd","otp"], aud:"staff"; failedLogins reset to 0</t>
  </si>
  <si>
    <t xml:space="preserve">TC-004</t>
  </si>
  <si>
    <t xml:space="preserve">Wrong password is rejected without detail</t>
  </si>
  <si>
    <t xml:space="preserve">User exec</t>
  </si>
  <si>
    <t xml:space="preserve">Login with a wrong password</t>
  </si>
  <si>
    <t xml:space="preserve">401 UNAUTHENTICATED "Invalid username or password"; audit auth.login_failed reason bad_password; failedLogins=1</t>
  </si>
  <si>
    <t xml:space="preserve">TC-005</t>
  </si>
  <si>
    <t xml:space="preserve">Lockout after 5 failures</t>
  </si>
  <si>
    <t xml:space="preserve">User exec; LOCKOUT_MAX_FAILURES=5</t>
  </si>
  <si>
    <t xml:space="preserve">5 wrong passwords, then the correct password</t>
  </si>
  <si>
    <t xml:space="preserve">Attempts 1–5 → 401; attempt 6 → 423 ACCOUNT_LOCKED; audit auth.login_locked</t>
  </si>
  <si>
    <t xml:space="preserve">As expected. Evidence: test/security/security.test.js (12/12 passed)</t>
  </si>
  <si>
    <t xml:space="preserve">Sec</t>
  </si>
  <si>
    <t xml:space="preserve">test/security/security.test.js</t>
  </si>
  <si>
    <t xml:space="preserve">TC-006</t>
  </si>
  <si>
    <t xml:space="preserve">Lock expires after LOCKOUT_MINUTES</t>
  </si>
  <si>
    <t xml:space="preserve">TC-005; clock advanced 15 min (or LOCKOUT_MINUTES=0 in test config)</t>
  </si>
  <si>
    <t xml:space="preserve">Correct login</t>
  </si>
  <si>
    <t xml:space="preserve">200; failedLogins=0, lockedUntil=null</t>
  </si>
  <si>
    <t xml:space="preserve">TC-007</t>
  </si>
  <si>
    <t xml:space="preserve">No username enumeration</t>
  </si>
  <si>
    <t xml:space="preserve">Login with an unknown user, then a known user with a wrong password; compare</t>
  </si>
  <si>
    <t xml:space="preserve">Same 401 message; response times within ±30 % (the timing equaliser hashes a dummy password); audit actor anonymous</t>
  </si>
  <si>
    <t xml:space="preserve">TC-008</t>
  </si>
  <si>
    <t xml:space="preserve">MFA wrong code</t>
  </si>
  <si>
    <t xml:space="preserve">POST /api/auth/mfa with code 000000 (or any wrong 6 digits)</t>
  </si>
  <si>
    <t xml:space="preserve">401 "Invalid code"; audit auth.mfa_failed; failedLogins incremented</t>
  </si>
  <si>
    <t xml:space="preserve">TC-009</t>
  </si>
  <si>
    <t xml:space="preserve">MFA token expiry</t>
  </si>
  <si>
    <t xml:space="preserve">TC-002; clock +301 s</t>
  </si>
  <si>
    <t xml:space="preserve">Submit a valid code</t>
  </si>
  <si>
    <t xml:space="preserve">401 "MFA session expired — sign in again"</t>
  </si>
  <si>
    <t xml:space="preserve">TC-010</t>
  </si>
  <si>
    <t xml:space="preserve">MFA self-enrolment for an MFA-required role</t>
  </si>
  <si>
    <t xml:space="preserve">Admin creates a user with role rule_approver (the seed is never shown to the admin; mustChangePassword:true)</t>
  </si>
  <si>
    <t xml:space="preserve">Login; scan otpauthUri; POST /api/auth/mfa with a valid code; change password</t>
  </si>
  <si>
    <t xml:space="preserve">Login → {mfaRequired:true, mfaEnrolment:true, otpauthUri}; first valid code completes enrolment (audit auth.mfa_enrolled) and returns mustChangePassword:true; next logins challenge without otpauthUri</t>
  </si>
  <si>
    <t xml:space="preserve">TC-011</t>
  </si>
  <si>
    <t xml:space="preserve">Disabled user is cut off immediately</t>
  </si>
  <si>
    <t xml:space="preserve">agent.hn holds a valid token</t>
  </si>
  <si>
    <t xml:space="preserve">Admin PATCH /api/users/:id {status:"disabled"}; agent calls GET /api/auth/me; agent logs in again</t>
  </si>
  <si>
    <t xml:space="preserve">me → 401 (status checked on every request; status/role/region changes also invalidate earlier tokens via tokensValidAfter); login → 401 reason inactive</t>
  </si>
  <si>
    <t xml:space="preserve">TC-012</t>
  </si>
  <si>
    <t xml:space="preserve">Demo TOTP helper absent outside demo mode</t>
  </si>
  <si>
    <t xml:space="preserve">DEMO_MODE=false</t>
  </si>
  <si>
    <t xml:space="preserve">GET /api/demo/totp/admin</t>
  </si>
  <si>
    <t xml:space="preserve">404 NOT_FOUND "Endpoint not found"</t>
  </si>
  <si>
    <t xml:space="preserve">TC-013</t>
  </si>
  <si>
    <t xml:space="preserve">JWT alg: none is rejected</t>
  </si>
  <si>
    <t xml:space="preserve">Valid token</t>
  </si>
  <si>
    <t xml:space="preserve">Re-encode the header {"alg":"none"} with an empty signature; call GET /api/auth/me</t>
  </si>
  <si>
    <t xml:space="preserve">401</t>
  </si>
  <si>
    <t xml:space="preserve">TC-014</t>
  </si>
  <si>
    <t xml:space="preserve">Tampered JWT (privilege escalation)</t>
  </si>
  <si>
    <t xml:space="preserve">exec token</t>
  </si>
  <si>
    <t xml:space="preserve">Change the payload roles:["admin"] and keep the signature</t>
  </si>
  <si>
    <t xml:space="preserve">401 (HMAC mismatch); also the server reads roles from the user record, not the token</t>
  </si>
  <si>
    <t xml:space="preserve">TC-015</t>
  </si>
  <si>
    <t xml:space="preserve">Expired token</t>
  </si>
  <si>
    <t xml:space="preserve">Token with exp in the past (sign with a negative TTL in the test)</t>
  </si>
  <si>
    <t xml:space="preserve">GET /api/auth/me</t>
  </si>
  <si>
    <t xml:space="preserve">TC-016</t>
  </si>
  <si>
    <t xml:space="preserve">Token audience confusion</t>
  </si>
  <si>
    <t xml:space="preserve">mfaToken from TC-002; customer token from POST /api/customer/session</t>
  </si>
  <si>
    <t xml:space="preserve">Use the mfaToken as a bearer on a staff route; use the customer token on GET /api/leads</t>
  </si>
  <si>
    <t xml:space="preserve">401 for the mfaToken (aud:"mfa" rejected); 403 "Staff token required" for the customer token</t>
  </si>
  <si>
    <t xml:space="preserve">TC-017</t>
  </si>
  <si>
    <t xml:space="preserve">Logout revokes the token</t>
  </si>
  <si>
    <t xml:space="preserve">Logged-in exec</t>
  </si>
  <si>
    <t xml:space="preserve">POST /api/auth/logout, then GET /api/auth/me with the same token</t>
  </si>
  <si>
    <t xml:space="preserve">401 on the same replica. *Note KI-07: per replica only.*</t>
  </si>
  <si>
    <t xml:space="preserve">Known issue KI-07 still open — expected behaviour not yet delivered; tracked in the KI register.</t>
  </si>
  <si>
    <t xml:space="preserve">KI-07</t>
  </si>
  <si>
    <t xml:space="preserve">TC-018</t>
  </si>
  <si>
    <t xml:space="preserve">Password policy and change</t>
  </si>
  <si>
    <t xml:space="preserve">POST /api/auth/password with new password short; then with a wrong current password; then valid</t>
  </si>
  <si>
    <t xml:space="preserve">400 "Password policy" (≥ 12 chars; must differ from the current one); 401 "Current password is incorrect"; 200 {reauthenticate:true} + audit auth.password_changed; the old token is rejected afterwards</t>
  </si>
  <si>
    <t xml:space="preserve">TC-019</t>
  </si>
  <si>
    <t xml:space="preserve">/api/auth/me reflects the RBAC mapping</t>
  </si>
  <si>
    <t xml:space="preserve">Each demo user</t>
  </si>
  <si>
    <t xml:space="preserve">permissions equals the union of rbac.json for the user's roles</t>
  </si>
  <si>
    <t xml:space="preserve">TC-020</t>
  </si>
  <si>
    <t xml:space="preserve">MFA step honours lockout (KI-06)</t>
  </si>
  <si>
    <t xml:space="preserve">admin locked (5 failures) but holding an unexpired mfaToken</t>
  </si>
  <si>
    <t xml:space="preserve">POST /api/auth/mfa with a correct code</t>
  </si>
  <si>
    <t xml:space="preserve">423 ACCOUNT_LOCKED; a replayed (already used) code → 401 "Invalid code" (KI-06 fixed)</t>
  </si>
  <si>
    <t xml:space="preserve">As expected. Evidence: test/security/security.test.js (12/12 passed) (fix for KI-06 verified)</t>
  </si>
  <si>
    <t xml:space="preserve">KI-06</t>
  </si>
  <si>
    <t xml:space="preserve">TC-021</t>
  </si>
  <si>
    <t xml:space="preserve">Full route × role authorisation matrix</t>
  </si>
  <si>
    <t xml:space="preserve">Tokens for all 13 staff roles + customer + partner</t>
  </si>
  <si>
    <t xml:space="preserve">For every route in the route table (76 at the time of writing), call it with each principal (minimal valid body)</t>
  </si>
  <si>
    <t xml:space="preserve">Route perm ∉ role permissions → 403 FORBIDDEN "Missing permission …"; no token → 401; public routes reachable without a token</t>
  </si>
  <si>
    <t xml:space="preserve">TC-022</t>
  </si>
  <si>
    <t xml:space="preserve">Segregation of duties for admin</t>
  </si>
  <si>
    <t xml:space="preserve">admin token</t>
  </si>
  <si>
    <t xml:space="preserve">GET /api/customers/:id; POST /api/rules; POST /api/rules/:id/approve</t>
  </si>
  <si>
    <t xml:space="preserve">403 for all (admin has no profile:read, rules:author or rules:approve)</t>
  </si>
  <si>
    <t xml:space="preserve">TC-023</t>
  </si>
  <si>
    <t xml:space="preserve">Regional lead queue for agents</t>
  </si>
  <si>
    <t xml:space="preserve">agent.hn (region Hà Nội)</t>
  </si>
  <si>
    <t xml:space="preserve">GET /api/leads?region=TP.%20H%E1%BB%93%20Ch%C3%AD%20Minh</t>
  </si>
  <si>
    <t xml:space="preserve">Every item has region:"Hà Nội": the query region is overridden for users without dashboard:read</t>
  </si>
  <si>
    <t xml:space="preserve">TC-024</t>
  </si>
  <si>
    <t xml:space="preserve">ABAC region on Customer 360</t>
  </si>
  <si>
    <t xml:space="preserve">agent.hn; profile in TP.HCM</t>
  </si>
  <si>
    <t xml:space="preserve">GET /api/customers/&lt;hcm-id&gt;</t>
  </si>
  <si>
    <t xml:space="preserve">403 "Policy regional_data denies read on this profile"</t>
  </si>
  <si>
    <t xml:space="preserve">TC-025</t>
  </si>
  <si>
    <t xml:space="preserve">Agents see only their own or unassigned handoffs</t>
  </si>
  <si>
    <t xml:space="preserve">Handoff assigned to agent.hcm</t>
  </si>
  <si>
    <t xml:space="preserve">agent.hn: GET /api/handoffs/:id; PATCH it</t>
  </si>
  <si>
    <t xml:space="preserve">403 (agent_own_handoffs); the list endpoint omits it</t>
  </si>
  <si>
    <t xml:space="preserve">TC-026</t>
  </si>
  <si>
    <t xml:space="preserve">Assignment requires supervisor</t>
  </si>
  <si>
    <t xml:space="preserve">Open handoff</t>
  </si>
  <si>
    <t xml:space="preserve">agent.hn PATCH {assignTo:"U-x"}; supervisor the same</t>
  </si>
  <si>
    <t xml:space="preserve">Agent → 403 "Missing permission handoff:assign"; supervisor → 200, audit handoff.updated</t>
  </si>
  <si>
    <t xml:space="preserve">TC-027</t>
  </si>
  <si>
    <t xml:space="preserve">No self-administration; separation of duties</t>
  </si>
  <si>
    <t xml:space="preserve">PATCH /api/users/&lt;self&gt; {roles:["executive"]}; POST /api/users with roles ["rule_author","rule_approver"]</t>
  </si>
  <si>
    <t xml:space="preserve">422 "You cannot change your own roles or status"; 422 "Separation of duties: rule_author and rule_approver cannot be held by the same person"</t>
  </si>
  <si>
    <t xml:space="preserve">TC-028</t>
  </si>
  <si>
    <t xml:space="preserve">Unknown role rejected</t>
  </si>
  <si>
    <t xml:space="preserve">admin</t>
  </si>
  <si>
    <t xml:space="preserve">POST /api/users with roles:["superuser"]</t>
  </si>
  <si>
    <t xml:space="preserve">400 "Unknown role superuser"</t>
  </si>
  <si>
    <t xml:space="preserve">TC-029</t>
  </si>
  <si>
    <t xml:space="preserve">Region restriction beyond Customer 360 (KI-10)</t>
  </si>
  <si>
    <t xml:space="preserve">agent.hn; HCM profile</t>
  </si>
  <si>
    <t xml:space="preserve">GET /api/customers/&lt;hcm-id&gt;/lineage; POST /api/voice/sessions {profileId:&lt;hcm-id&gt;}; GET /api/policies?profileId=&lt;hcm-id&gt;</t>
  </si>
  <si>
    <t xml:space="preserve">Lineage → 403 (now enforced). Expected for voice sessions and policies: 403. *Currently 200: KI-10 (partly fixed)*</t>
  </si>
  <si>
    <t xml:space="preserve">Known issue KI-10 still open — expected behaviour not yet delivered; tracked in the KI register.</t>
  </si>
  <si>
    <t xml:space="preserve">test/security/security.test.js (todo KI-10)</t>
  </si>
  <si>
    <t xml:space="preserve">KI-10</t>
  </si>
  <si>
    <t xml:space="preserve">TC-030</t>
  </si>
  <si>
    <t xml:space="preserve">Audience separation</t>
  </si>
  <si>
    <t xml:space="preserve">Staff token, customer token</t>
  </si>
  <si>
    <t xml:space="preserve">Staff token on GET /api/customer/home; customer token on GET /api/policies</t>
  </si>
  <si>
    <t xml:space="preserve">403 "Customer token required"; 403 "Staff token required"</t>
  </si>
  <si>
    <t xml:space="preserve">TC-031</t>
  </si>
  <si>
    <t xml:space="preserve">PII masking by permission</t>
  </si>
  <si>
    <t xml:space="preserve">campaign (no profile:read_pii), agent.hn (has it)</t>
  </si>
  <si>
    <t xml:space="preserve">GET /api/customers/:id as each</t>
  </si>
  <si>
    <t xml:space="preserve">Campaign: name/phone masked, piiMasked:true, message to omitted; agent: clear values. Audit profile.viewed with piiVisible false/true</t>
  </si>
  <si>
    <t xml:space="preserve">TC-032</t>
  </si>
  <si>
    <t xml:space="preserve">Plate and phone normalisation on ingest</t>
  </si>
  <si>
    <t xml:space="preserve">steward token</t>
  </si>
  <si>
    <t xml:space="preserve">POST /api/data/ingest with plates 30a-123.45, 30A 12345, 30A.123.45, 30-12345 and phones +84912345678, 912345678, 0912 345 678</t>
  </si>
  <si>
    <t xml:space="preserve">The first three plates map to key 30A12345; 30-12345 rejected with DQ invalid_plate; phones normalise to 0912345678; response rejected=1</t>
  </si>
  <si>
    <t xml:space="preserve">As expected. Evidence: test/unit/identity.test.js (3/3 passed); test/integration/journeys.test.js (6/6 passed)</t>
  </si>
  <si>
    <t xml:space="preserve">Int</t>
  </si>
  <si>
    <t xml:space="preserve">test/unit/identity.test.js, test/integration/journeys.test.js</t>
  </si>
  <si>
    <t xml:space="preserve">TC-033</t>
  </si>
  <si>
    <t xml:space="preserve">Survivorship across sources</t>
  </si>
  <si>
    <t xml:space="preserve">Same plate in vetc_account (trust 0.85) and partner_agent (0.5) with different names</t>
  </si>
  <si>
    <t xml:space="preserve">Ingest both</t>
  </si>
  <si>
    <t xml:space="preserve">Golden profile takes the higher-trust attribute; lineage lists both record IDs and sources</t>
  </si>
  <si>
    <t xml:space="preserve">As expected. Evidence: test/integration/journeys.test.js (6/6 passed)</t>
  </si>
  <si>
    <t xml:space="preserve">test/integration/journeys.test.js</t>
  </si>
  <si>
    <t xml:space="preserve">TC-034</t>
  </si>
  <si>
    <t xml:space="preserve">Conflicting phones raise a DQ issue</t>
  </si>
  <si>
    <t xml:space="preserve">Two sources, same plate, different valid phones</t>
  </si>
  <si>
    <t xml:space="preserve">Ingest</t>
  </si>
  <si>
    <t xml:space="preserve">DQ issue &lt;plate&gt;:conflicting_phone open</t>
  </si>
  <si>
    <t xml:space="preserve">TC-035</t>
  </si>
  <si>
    <t xml:space="preserve">Customer-declared expiry survives rebuild</t>
  </si>
  <si>
    <t xml:space="preserve">Customer declared expiry (confidence 0.8)</t>
  </si>
  <si>
    <t xml:space="preserve">Re-ingest an older partner record for the plate (lower confidence)</t>
  </si>
  <si>
    <t xml:space="preserve">Profile keeps expiryMethod:"customer_declared" and its date</t>
  </si>
  <si>
    <t xml:space="preserve">TC-036</t>
  </si>
  <si>
    <t xml:space="preserve">Erased profiles are not re-identified</t>
  </si>
  <si>
    <t xml:space="preserve">Profile anonymised (TC-107)</t>
  </si>
  <si>
    <t xml:space="preserve">Ingest a new source record with name and phone for the same plate</t>
  </si>
  <si>
    <t xml:space="preserve">Profile stays anonymised:true with null name and phone</t>
  </si>
  <si>
    <t xml:space="preserve">As expected. Evidence: test/integration/governance.test.js (7/7 passed)</t>
  </si>
  <si>
    <t xml:space="preserve">test/integration/governance.test.js</t>
  </si>
  <si>
    <t xml:space="preserve">TC-037</t>
  </si>
  <si>
    <t xml:space="preserve">Data steward expiry correction</t>
  </si>
  <si>
    <t xml:space="preserve">steward (MFA)</t>
  </si>
  <si>
    <t xml:space="preserve">PATCH /api/customers/:id/expiry {expiryDate, insurer, evidence:"Cert scan #123"}; then without evidence</t>
  </si>
  <si>
    <t xml:space="preserve">200 + audit profile.expiry_corrected with evidence + lead recomputed; confidence = service_levels.stewardCorrectionConfidence (0.9); missing evidence → 400; a steward with a regional assignment is limited by ABAC regional_data (update)</t>
  </si>
  <si>
    <t xml:space="preserve">TC-038</t>
  </si>
  <si>
    <t xml:space="preserve">DQ issue lifecycle</t>
  </si>
  <si>
    <t xml:space="preserve">Open invalid_plate issue</t>
  </si>
  <si>
    <t xml:space="preserve">POST /api/dq/issues/:id/resolve {resolution}; re-ingest the same bad record</t>
  </si>
  <si>
    <t xml:space="preserve">Status resolved with resolvedBy; the re-ingest reopens it (a resolved issue is re-raised when detected again)</t>
  </si>
  <si>
    <t xml:space="preserve">TC-039</t>
  </si>
  <si>
    <t xml:space="preserve">Ingest input allow-list and bounds</t>
  </si>
  <si>
    <t xml:space="preserve">steward</t>
  </si>
  <si>
    <t xml:space="preserve">Batch of 5,001 records; batch with an extra field isAdmin:true; record without recordId</t>
  </si>
  <si>
    <t xml:space="preserve">400 "at most 5000 items"; extra field stripped (not stored); 400 records[i].recordId required</t>
  </si>
  <si>
    <t xml:space="preserve">TC-040</t>
  </si>
  <si>
    <t xml:space="preserve">Lineage view</t>
  </si>
  <si>
    <t xml:space="preserve">Profile built from 2 sources</t>
  </si>
  <si>
    <t xml:space="preserve">GET /api/customers/:id/lineage</t>
  </si>
  <si>
    <t xml:space="preserve">fields[] contains policy.expiryDate source and confidence; sourceRecords lists record IDs; recentBatches ≤ 10</t>
  </si>
  <si>
    <t xml:space="preserve">TC-041</t>
  </si>
  <si>
    <t xml:space="preserve">Benefits pending legal review never reach customers</t>
  </si>
  <si>
    <t xml:space="preserve">benefits.json has loyalty_points pending_legal_review and an eligible profile</t>
  </si>
  <si>
    <t xml:space="preserve">GET /api/customer/home; GET /api/customers/:id (staff)</t>
  </si>
  <si>
    <t xml:space="preserve">Customer benefits[] excludes loyalty_points (pending legal review) and items flagged available:false (auto_renew, fleet_dashboard), and holds ≤ maxShown (3); the staff view includes them with legalStatus / available flags</t>
  </si>
  <si>
    <t xml:space="preserve">TC-042</t>
  </si>
  <si>
    <t xml:space="preserve">Explainable score and tiers</t>
  </si>
  <si>
    <t xml:space="preserve">Fixed profile facts</t>
  </si>
  <si>
    <t xml:space="preserve">evaluateLead</t>
  </si>
  <si>
    <t xml:space="preserve">score = round(Σ weight×value × (0.6 + 0.4×expiryConfidence)); tier hot ≥ 70, warm ≥ 45, else nurture; reasons[] sorted by points with why text</t>
  </si>
  <si>
    <t xml:space="preserve">As expected. Evidence: test/unit/rulesDomain.test.js (12/12 passed)</t>
  </si>
  <si>
    <t xml:space="preserve">test/unit/rulesDomain.test.js</t>
  </si>
  <si>
    <t xml:space="preserve">TC-043</t>
  </si>
  <si>
    <t xml:space="preserve">Fix data before selling</t>
  </si>
  <si>
    <t xml:space="preserve">Profile with expiryConfidence &lt; 0.5</t>
  </si>
  <si>
    <t xml:space="preserve">NBA verify_expiry (rule fix_data)</t>
  </si>
  <si>
    <t xml:space="preserve">TC-044</t>
  </si>
  <si>
    <t xml:space="preserve">DNC suppresses everything</t>
  </si>
  <si>
    <t xml:space="preserve">Profile consent.dnc:true</t>
  </si>
  <si>
    <t xml:space="preserve">NBA suppress; no touchpoints planned</t>
  </si>
  <si>
    <t xml:space="preserve">TC-045</t>
  </si>
  <si>
    <t xml:space="preserve">Company vehicles routed to B2B</t>
  </si>
  <si>
    <t xml:space="preserve">ownerType:"company"</t>
  </si>
  <si>
    <t xml:space="preserve">NBA route_b2b; excluded from /api/voice/campaign</t>
  </si>
  <si>
    <t xml:space="preserve">TC-046</t>
  </si>
  <si>
    <t xml:space="preserve">TASCO-insured vehicles leave journeys</t>
  </si>
  <si>
    <t xml:space="preserve">Active TASCO TNDS policy ending after today</t>
  </si>
  <si>
    <t xml:space="preserve">journey:null, NBA insured; existing scheduled touchpoints deleted</t>
  </si>
  <si>
    <t xml:space="preserve">TC-047</t>
  </si>
  <si>
    <t xml:space="preserve">Journey priority order</t>
  </si>
  <si>
    <t xml:space="preserve">Profile lapsed 10 days, confidence ≥ 0.5</t>
  </si>
  <si>
    <t xml:space="preserve">assignJourney</t>
  </si>
  <si>
    <t xml:space="preserve">lapsed_uninsured (priority 1) chosen over renewal and conquest</t>
  </si>
  <si>
    <t xml:space="preserve">TC-048</t>
  </si>
  <si>
    <t xml:space="preserve">Touchpoints re-planned only on change</t>
  </si>
  <si>
    <t xml:space="preserve">Lead recomputed twice with no change</t>
  </si>
  <si>
    <t xml:space="preserve">Count touchpoints</t>
  </si>
  <si>
    <t xml:space="preserve">No duplicates (ids profile:journey:step:date); a tier change deletes and re-plans the scheduled ones</t>
  </si>
  <si>
    <t xml:space="preserve">TC-049</t>
  </si>
  <si>
    <t xml:space="preserve">Lead queue filters and bounds</t>
  </si>
  <si>
    <t xml:space="preserve">campaign</t>
  </si>
  <si>
    <t xml:space="preserve">GET /api/leads?tier=hot&amp;minScore=70&amp;sort=expiry&amp;limit=500; limit=501; tier=cold</t>
  </si>
  <si>
    <t xml:space="preserve">200 filtered and sorted; 400 for limit &gt; 500; 400 enum violation</t>
  </si>
  <si>
    <t xml:space="preserve">TC-050</t>
  </si>
  <si>
    <t xml:space="preserve">No marketing before 08:00 ICT</t>
  </si>
  <si>
    <t xml:space="preserve">Due marketing touchpoint (e.g. renewal/first_reminder); consent OK</t>
  </si>
  <si>
    <t xml:space="preserve">POST /api/journeys/run {at:"&lt;date&gt;T00:59:00Z"} (07:59 ICT)</t>
  </si>
  <si>
    <t xml:space="preserve">Touchpoint skipped, reason includes "outside allowed contact hours"; no message sent. *See KI-05: skip is terminal*</t>
  </si>
  <si>
    <t xml:space="preserve">As expected. Evidence: test/unit/rulesDomain.test.js (12/12 passed); test/integration/journeys.test.js (6/6 passed) (fix for KI-05 verified)</t>
  </si>
  <si>
    <t xml:space="preserve">test/unit/rulesDomain.test.js, test/integration/journeys.test.js</t>
  </si>
  <si>
    <t xml:space="preserve">KI-05</t>
  </si>
  <si>
    <t xml:space="preserve">TC-051</t>
  </si>
  <si>
    <t xml:space="preserve">Window boundaries inclusive at start</t>
  </si>
  <si>
    <t xml:space="preserve">As TC-050</t>
  </si>
  <si>
    <t xml:space="preserve">Run at 01:00Z (08:00 ICT) and 12:59Z (19:59 ICT)</t>
  </si>
  <si>
    <t xml:space="preserve">Sent (done) both times (on separate profiles to avoid caps)</t>
  </si>
  <si>
    <t xml:space="preserve">TC-052</t>
  </si>
  <si>
    <t xml:space="preserve">No marketing at or after 20:00 ICT</t>
  </si>
  <si>
    <t xml:space="preserve">Run at 13:00Z (20:00 ICT)</t>
  </si>
  <si>
    <t xml:space="preserve">Blocked, "outside allowed contact hours"</t>
  </si>
  <si>
    <t xml:space="preserve">TC-053</t>
  </si>
  <si>
    <t xml:space="preserve">Marketing needs marketing consent</t>
  </si>
  <si>
    <t xml:space="preserve">consent.marketing:false</t>
  </si>
  <si>
    <t xml:space="preserve">canContact(..., {marketing:true})</t>
  </si>
  <si>
    <t xml:space="preserve">Reason "no marketing consent"</t>
  </si>
  <si>
    <t xml:space="preserve">TC-054</t>
  </si>
  <si>
    <t xml:space="preserve">Calls need call consent</t>
  </si>
  <si>
    <t xml:space="preserve">consent.call:false</t>
  </si>
  <si>
    <t xml:space="preserve">canContact for voice_bot and telesales</t>
  </si>
  <si>
    <t xml:space="preserve">Reason "no call consent"</t>
  </si>
  <si>
    <t xml:space="preserve">TC-055</t>
  </si>
  <si>
    <t xml:space="preserve">DNC customer is never contacted</t>
  </si>
  <si>
    <t xml:space="preserve">consent.dnc:true</t>
  </si>
  <si>
    <t xml:space="preserve">Service (marketing:false) and marketing on every channel; POST /api/voice/sessions</t>
  </si>
  <si>
    <t xml:space="preserve">Every channel blocked "customer is on do-not-contact list"; voice session start → 422 "Customer is on the do-not-contact list"</t>
  </si>
  <si>
    <t xml:space="preserve">As expected. Evidence: test/unit/rulesDomain.test.js (12/12 passed); test/api/api.test.js (9/9 passed)</t>
  </si>
  <si>
    <t xml:space="preserve">test/unit/rulesDomain.test.js, test/api/api.test.js</t>
  </si>
  <si>
    <t xml:space="preserve">TC-056</t>
  </si>
  <si>
    <t xml:space="preserve">Daily marketing cap (1/day)</t>
  </si>
  <si>
    <t xml:space="preserve">One marketing message sent in the last 24 h</t>
  </si>
  <si>
    <t xml:space="preserve">Next marketing touchpoint</t>
  </si>
  <si>
    <t xml:space="preserve">Blocked "daily contact cap reached"</t>
  </si>
  <si>
    <t xml:space="preserve">TC-057</t>
  </si>
  <si>
    <t xml:space="preserve">Weekly caps (3 marketing, 2 calls)</t>
  </si>
  <si>
    <t xml:space="preserve">3 marketing messages in 7 days; separately 2 voice/telesales contacts</t>
  </si>
  <si>
    <t xml:space="preserve">Next marketing / next call</t>
  </si>
  <si>
    <t xml:space="preserve">"weekly contact cap reached" / "weekly call cap reached"</t>
  </si>
  <si>
    <t xml:space="preserve">TC-058</t>
  </si>
  <si>
    <t xml:space="preserve">Service messages bypass caps and window</t>
  </si>
  <si>
    <t xml:space="preserve">Caps reached; 22:00 ICT; serviceMessagesBypassCaps:true</t>
  </si>
  <si>
    <t xml:space="preserve">lapsed_notice (marketing:false)</t>
  </si>
  <si>
    <t xml:space="preserve">Allowed (consent and DNC still apply)</t>
  </si>
  <si>
    <t xml:space="preserve">TC-059</t>
  </si>
  <si>
    <t xml:space="preserve">Touchpoint cancellation rules</t>
  </si>
  <si>
    <t xml:space="preserve">Scheduled touchpoint; then the customer buys TASCO TNDS / the lead's journey changes</t>
  </si>
  <si>
    <t xml:space="preserve">Run due</t>
  </si>
  <si>
    <t xml:space="preserve">cancelled, reason "already insured with TASCO" / "journey changed to …"</t>
  </si>
  <si>
    <t xml:space="preserve">TC-060</t>
  </si>
  <si>
    <t xml:space="preserve">Runtime copy guard blocks banned wording</t>
  </si>
  <si>
    <t xml:space="preserve">Test-only active template containing "giảm giá" (inserted directly in the store, bypassing validation)</t>
  </si>
  <si>
    <t xml:space="preserve">Message stored status:"blocked", blockReason "copy guard: giảm giá"; nothing sent to the gateway; messages_total{status="blocked"} +1</t>
  </si>
  <si>
    <t xml:space="preserve">TC-061</t>
  </si>
  <si>
    <t xml:space="preserve">Copy guard ignores diacritics and case</t>
  </si>
  <si>
    <t xml:space="preserve">Banned list as shipped</t>
  </si>
  <si>
    <t xml:space="preserve">checkCopy on "GIAM GIA", "Giảm Giá", "Cashback", "cash back", "giảm  giá" (double space)</t>
  </si>
  <si>
    <t xml:space="preserve">The first three are blocked. Expected: the last two are blocked too. *Currently whitespace variants pass: KI-26.* Compliance reviews content manually until the fix lands</t>
  </si>
  <si>
    <t xml:space="preserve">As expected. Evidence: test/unit/rulesDomain.test.js (12/12 passed) (fix for KI-26 verified)</t>
  </si>
  <si>
    <t xml:space="preserve">test/unit/rulesDomain.test.js (partly todo KI-26)</t>
  </si>
  <si>
    <t xml:space="preserve">KI-26</t>
  </si>
  <si>
    <t xml:space="preserve">TC-062</t>
  </si>
  <si>
    <t xml:space="preserve">Channel fallback and failure accounting</t>
  </si>
  <si>
    <t xml:space="preserve">Zalo gateway port throws</t>
  </si>
  <si>
    <t xml:space="preserve">Touchpoint with channels [zalo_zns, sms]</t>
  </si>
  <si>
    <t xml:space="preserve">Zalo message failed; SMS sent; touchpoint done with channel:"sms"; messages_total{channel="zalo_zns",status="failed"} +1</t>
  </si>
  <si>
    <t xml:space="preserve">TC-063</t>
  </si>
  <si>
    <t xml:space="preserve">Ecosystem moments of truth</t>
  </si>
  <si>
    <t xml:space="preserve">Profile with days &lt; 60</t>
  </si>
  <si>
    <t xml:space="preserve">POST /api/ecosystem/events {type:"vetc.inspection_booked"}; {type:"vetc.tag_activated"}</t>
  </si>
  <si>
    <t xml:space="preserve">Inspection → inspection_tnds_check message via app_push/zalo (service); tag → lead.recompute_requested published; audit ecosystem.event_handled</t>
  </si>
  <si>
    <t xml:space="preserve">TC-064</t>
  </si>
  <si>
    <t xml:space="preserve">Disclosure and plate privacy</t>
  </si>
  <si>
    <t xml:space="preserve">Profile with plate 30A-123.45</t>
  </si>
  <si>
    <t xml:space="preserve">POST /api/voice/sessions</t>
  </si>
  <si>
    <t xml:space="preserve">First bot line is intro (automated assistant, never asks for OTP or payment); no bot line contains the full plate (only the masked 30A-*.45 if any)</t>
  </si>
  <si>
    <t xml:space="preserve">As expected. Evidence: test/unit/voicebot.test.js (11/11 passed); test/api/api.test.js (9/9 passed)</t>
  </si>
  <si>
    <t xml:space="preserve">test/unit/voicebot.test.js, test/api/api.test.js</t>
  </si>
  <si>
    <t xml:space="preserve">TC-065</t>
  </si>
  <si>
    <t xml:space="preserve">Plate verification from speech</t>
  </si>
  <si>
    <t xml:space="preserve">Session in verify_plate for 30A12345</t>
  </si>
  <si>
    <t xml:space="preserve">Turns "ba không A một hai ba bốn năm", "30A 123 45", "biển số 30A-123.45"; then "ba mươi A, một hai ba bốn năm", which is the example the bot itself gives in plateRetry</t>
  </si>
  <si>
    <t xml:space="preserve">The first three → verified:true, state confirm_expiry. Expected for "ba mươi A…": verified. *Currently not parsed (tens words such as "mươi" are unsupported): KI-25*</t>
  </si>
  <si>
    <t xml:space="preserve">As expected. Evidence: test/unit/voicebot.test.js (11/11 passed) (fix for KI-25 verified)</t>
  </si>
  <si>
    <t xml:space="preserve">test/unit/voicebot.test.js (partly todo KI-25)</t>
  </si>
  <si>
    <t xml:space="preserve">KI-25</t>
  </si>
  <si>
    <t xml:space="preserve">TC-066</t>
  </si>
  <si>
    <t xml:space="preserve">Plate mismatch ends the call and raises DQ</t>
  </si>
  <si>
    <t xml:space="preserve">Session for 30A12345</t>
  </si>
  <si>
    <t xml:space="preserve">Turn "29A 999 99"</t>
  </si>
  <si>
    <t xml:space="preserve">Outcome plate_mismatch; DQ issue &lt;id&gt;:plate_mismatch open; no expiry or premium disclosed</t>
  </si>
  <si>
    <t xml:space="preserve">TC-067</t>
  </si>
  <si>
    <t xml:space="preserve">Unverifiable caller</t>
  </si>
  <si>
    <t xml:space="preserve">maxPlateAttempts=3</t>
  </si>
  <si>
    <t xml:space="preserve">Three turns with no plate</t>
  </si>
  <si>
    <t xml:space="preserve">Outcome unverified; no personal data spoken</t>
  </si>
  <si>
    <t xml:space="preserve">As expected. Evidence: test/unit/voicebot.test.js (11/11 passed)</t>
  </si>
  <si>
    <t xml:space="preserve">test/unit/voicebot.test.js</t>
  </si>
  <si>
    <t xml:space="preserve">TC-068</t>
  </si>
  <si>
    <t xml:space="preserve">Opt-out via voice bot is honoured</t>
  </si>
  <si>
    <t xml:space="preserve">Profile with call consent</t>
  </si>
  <si>
    <t xml:space="preserve">Turn "đừng gọi nữa"</t>
  </si>
  <si>
    <t xml:space="preserve">Outcome opted_out; profile consent.call:false, dnc:true (also in consentOverrides, so it survives rebuilds); audit consent.withdrawn; lead NBA becomes suppress; later /api/voice/campaign skips the profile</t>
  </si>
  <si>
    <t xml:space="preserve">TC-069</t>
  </si>
  <si>
    <t xml:space="preserve">Scam concern handled with the trust script</t>
  </si>
  <si>
    <t xml:space="preserve">Session</t>
  </si>
  <si>
    <t xml:space="preserve">Turn "lừa đảo à"</t>
  </si>
  <si>
    <t xml:space="preserve">trust line spoken; signals.trustConcern:true; the handoff talking points instruct "never take payment by phone"</t>
  </si>
  <si>
    <t xml:space="preserve">TC-070</t>
  </si>
  <si>
    <t xml:space="preserve">Hot lead handoff summary is minimal</t>
  </si>
  <si>
    <t xml:space="preserve">Verified session</t>
  </si>
  <si>
    <t xml:space="preserve">Turn "tôi muốn mua ngay"</t>
  </si>
  <si>
    <t xml:space="preserve">Outcome hot_handoff; handoff HO-… with phoneMasked (no full phone), plateVerifiedByCustomer:true, talking points; event handoff.created; voice_calls_total{outcome="hot_handoff"} +1</t>
  </si>
  <si>
    <t xml:space="preserve">TC-071</t>
  </si>
  <si>
    <t xml:space="preserve">IDOR: customer cannot buy another customer's quote</t>
  </si>
  <si>
    <t xml:space="preserve">Customer A and B sessions; quote Q-B for B</t>
  </si>
  <si>
    <t xml:space="preserve">A: POST /api/customer/orders {quoteId:Q-B} with an Idempotency-Key</t>
  </si>
  <si>
    <t xml:space="preserve">404 NOT_FOUND "Quote not found" (no existence disclosure); no debit</t>
  </si>
  <si>
    <t xml:space="preserve">TC-072</t>
  </si>
  <si>
    <t xml:space="preserve">Regulated TNDS premium is exact</t>
  </si>
  <si>
    <t xml:space="preserve">tariff.tnds_car car_under6 437,000 VND, VAT 10 %</t>
  </si>
  <si>
    <t xml:space="preserve">POST /api/customer/quotes {products:[{code:"TNDS_CAR"}]} for a 1-year term starting the day after expiry</t>
  </si>
  <si>
    <t xml:space="preserve">premiumNet = 437,000 × termYears (whole-year terms; no leap-day pro-rata), vat = round(net × 0.1) = 43,700, total = 480,700 for 1 year; priceRegulated:true; no discount field</t>
  </si>
  <si>
    <t xml:space="preserve">Unit / API</t>
  </si>
  <si>
    <t xml:space="preserve">TC-073</t>
  </si>
  <si>
    <t xml:space="preserve">Idempotent double purchase</t>
  </si>
  <si>
    <t xml:space="preserve">Open quote</t>
  </si>
  <si>
    <t xml:space="preserve">Two sequential POST /api/customer/orders with the same Idempotency-Key</t>
  </si>
  <si>
    <t xml:space="preserve">First 200 idempotentReplay:false; second 200 idempotentReplay:true, same order id; exactly one wallet debit; one orders_completed_total increment</t>
  </si>
  <si>
    <t xml:space="preserve">TC-074</t>
  </si>
  <si>
    <t xml:space="preserve">Public certificate verification discloses no PII</t>
  </si>
  <si>
    <t xml:space="preserve">Issued policy</t>
  </si>
  <si>
    <t xml:space="preserve">GET /api/public/certificates/&lt;certNo&gt;; unknown certNo</t>
  </si>
  <si>
    <t xml:space="preserve">valid:true, state:"in_force", masked plate (e.g. 30A-*.45), product, dates, insurer; no name or phone. Early renewal → valid:false, state:"not_yet_in_force"; lapsed → state:"expired"; unknown → {valid:false, reason:"not_found"}</t>
  </si>
  <si>
    <t xml:space="preserve">TC-075</t>
  </si>
  <si>
    <t xml:space="preserve">Quote expiry (service_levels.quoteTtlHours = 24)</t>
  </si>
  <si>
    <t xml:space="preserve">Quote created; clock +24 h 1 min</t>
  </si>
  <si>
    <t xml:space="preserve">Purchase</t>
  </si>
  <si>
    <t xml:space="preserve">422 BUSINESS_RULE_VIOLATION "Quote expired — please re-quote"; no order</t>
  </si>
  <si>
    <t xml:space="preserve">TC-076</t>
  </si>
  <si>
    <t xml:space="preserve">Converted quote cannot be re-bought with a new key</t>
  </si>
  <si>
    <t xml:space="preserve">TC-073 done</t>
  </si>
  <si>
    <t xml:space="preserve">Purchase the same quote with a different key</t>
  </si>
  <si>
    <t xml:space="preserve">422 "Quote is converted"</t>
  </si>
  <si>
    <t xml:space="preserve">TC-077</t>
  </si>
  <si>
    <t xml:space="preserve">Channel eligibility</t>
  </si>
  <si>
    <t xml:space="preserve">Product whose channels exclude partner_api (test catalogue)</t>
  </si>
  <si>
    <t xml:space="preserve">Partner quote for it</t>
  </si>
  <si>
    <t xml:space="preserve">422 "… is not sold on channel partner_api"</t>
  </si>
  <si>
    <t xml:space="preserve">As expected. Evidence: test/integration/sales.test.js (8/8 passed)</t>
  </si>
  <si>
    <t xml:space="preserve">test/integration/sales.test.js</t>
  </si>
  <si>
    <t xml:space="preserve">TC-078</t>
  </si>
  <si>
    <t xml:space="preserve">Physical damage underwriting limits</t>
  </si>
  <si>
    <t xml:space="preserve">rating.motor_pd maxSumInsured 5,000,000,000</t>
  </si>
  <si>
    <t xml:space="preserve">Quote MOTOR_PD sumInsured 6e9; deductible 250,000</t>
  </si>
  <si>
    <t xml:space="preserve">422 "Sum insured exceeds the online limit — refer to underwriter"; 400 "Unsupported deductible"</t>
  </si>
  <si>
    <t xml:space="preserve">TC-079</t>
  </si>
  <si>
    <t xml:space="preserve">Wallet outage</t>
  </si>
  <si>
    <t xml:space="preserve">Wallet port throws errors.upstream</t>
  </si>
  <si>
    <t xml:space="preserve">Customer purchase × 6</t>
  </si>
  <si>
    <t xml:space="preserve">503 UPSTREAM_UNAVAILABLE; order payment_failed; audit order.payment_failed; after 5 failed calls breaker vetc-wallet open → next call short-circuits, integration_short_circuit_total +1; /api/ops/status shows circuit:"open"</t>
  </si>
  <si>
    <t xml:space="preserve">TC-080</t>
  </si>
  <si>
    <t xml:space="preserve">Issuance failure compensation</t>
  </si>
  <si>
    <t xml:space="preserve">Policy admin port fails on line 2 of a TNDS + PA_SEAT quote</t>
  </si>
  <si>
    <t xml:space="preserve">Order issuance_failed_refunded with paymentRef; refund called (customer wallet orders only; partner orders are partner_collected, so there is no refund); audit order.issuance_failed. Expected (KI-02): line 1 policy cancelled or partial refund, plus a reconciliation flag. *Currently line 1 stays active and the full amount is refunded*</t>
  </si>
  <si>
    <t xml:space="preserve">As expected. Evidence: test/integration/sales.test.js (8/8 passed) (fix for KI-02 verified)</t>
  </si>
  <si>
    <t xml:space="preserve">test/integration/sales.test.js (partly todo KI-02)</t>
  </si>
  <si>
    <t xml:space="preserve">KI-02</t>
  </si>
  <si>
    <t xml:space="preserve">TC-081</t>
  </si>
  <si>
    <t xml:space="preserve">IDOR: partner cannot bind another partner's quote</t>
  </si>
  <si>
    <t xml:space="preserve">Keys for P-BANK-01 and P-SHOWROOM-01; quote by BANK</t>
  </si>
  <si>
    <t xml:space="preserve">SHOWROOM POST /api/partner/v1/orders {quoteId}</t>
  </si>
  <si>
    <t xml:space="preserve">404 "Quote not found"; no debit</t>
  </si>
  <si>
    <t xml:space="preserve">TC-082</t>
  </si>
  <si>
    <t xml:space="preserve">Partner key authentication</t>
  </si>
  <si>
    <t xml:space="preserve">No X-Api-Key; key without the tpk_ prefix; key &gt; 100 chars; revoked key; key of a suspended partner</t>
  </si>
  <si>
    <t xml:space="preserve">401 "Valid X-Api-Key required" in every case</t>
  </si>
  <si>
    <t xml:space="preserve">TC-083</t>
  </si>
  <si>
    <t xml:space="preserve">Unknown plate onboarding (new business)</t>
  </si>
  <si>
    <t xml:space="preserve">Plate not in the base</t>
  </si>
  <si>
    <t xml:space="preserve">POST /api/partner/v1/quotes {plate:"51G-678.90", holderName, phone, currentExpiry}; invalid plate ABC; invalid phone 123</t>
  </si>
  <si>
    <t xml:space="preserve">Profile created from source partner_&lt;type&gt; with lineage; quote with channel:"partner_api", partnerId; ABC → 400 "Invalid licence plate"; bad phone → 400</t>
  </si>
  <si>
    <t xml:space="preserve">TC-084</t>
  </si>
  <si>
    <t xml:space="preserve">Commission above statutory cap is rejected</t>
  </si>
  <si>
    <t xml:space="preserve">author</t>
  </si>
  <si>
    <t xml:space="preserve">POST /api/rules {kind:"commission", payload:&lt;tnds rule rate 0.08&gt;}</t>
  </si>
  <si>
    <t xml:space="preserve">400 "rule tnds_any: rate 0.08 exceeds statutory cap 0.05 for TNDS_CAR"</t>
  </si>
  <si>
    <t xml:space="preserve">TC-085</t>
  </si>
  <si>
    <t xml:space="preserve">Runtime commission and statement</t>
  </si>
  <si>
    <t xml:space="preserve">Partner order: TNDS + MOTOR_PD (showroom)</t>
  </si>
  <si>
    <t xml:space="preserve">GET /api/partner/v1/statement?from=&amp;to=</t>
  </si>
  <si>
    <t xml:space="preserve">Lines: TNDS 5 %, PD 10 %; capped:false; totalCommission = Σ amounts; only the partner's own completed orders</t>
  </si>
  <si>
    <t xml:space="preserve">TC-086</t>
  </si>
  <si>
    <t xml:space="preserve">API key shown once, stored hashed</t>
  </si>
  <si>
    <t xml:space="preserve">partners (partner manager)</t>
  </si>
  <si>
    <t xml:space="preserve">POST /api/partners/:id/keys; read the api_keys row</t>
  </si>
  <si>
    <t xml:space="preserve">Response contains apiKey tpk_… once; the stored row has keyHash (SHA-256) and prefix only; audit partner.api_key_issued with keyId and prefix</t>
  </si>
  <si>
    <t xml:space="preserve">TC-087</t>
  </si>
  <si>
    <t xml:space="preserve">Partner sees only its own policies</t>
  </si>
  <si>
    <t xml:space="preserve">Two partners with sales</t>
  </si>
  <si>
    <t xml:space="preserve">GET /api/partner/v1/policies</t>
  </si>
  <si>
    <t xml:space="preserve">Only partnerId = caller</t>
  </si>
  <si>
    <t xml:space="preserve">TC-088</t>
  </si>
  <si>
    <t xml:space="preserve">Statement date filter</t>
  </si>
  <si>
    <t xml:space="preserve">Orders on 3 dates</t>
  </si>
  <si>
    <t xml:space="preserve">?from=D2&amp;to=D2; from=2026-13-01</t>
  </si>
  <si>
    <t xml:space="preserve">Only D2 orders; 400 for an invalid date</t>
  </si>
  <si>
    <t xml:space="preserve">TC-089</t>
  </si>
  <si>
    <t xml:space="preserve">Key revocation is immediate</t>
  </si>
  <si>
    <t xml:space="preserve">Active key</t>
  </si>
  <si>
    <t xml:space="preserve">DELETE /api/partners/keys/:keyId, then a partner call</t>
  </si>
  <si>
    <t xml:space="preserve">200 {revoked:true}; the next call → 401; audit partner.api_key_revoked</t>
  </si>
  <si>
    <t xml:space="preserve">TC-090</t>
  </si>
  <si>
    <t xml:space="preserve">Maker cannot approve own rule</t>
  </si>
  <si>
    <t xml:space="preserve">SoD stops one person holding both roles through the API (TC-027), so the test inserts a dual-role user directly into the store, then creates and submits a draft</t>
  </si>
  <si>
    <t xml:space="preserve">POST /api/rules/:id/approve by the same user</t>
  </si>
  <si>
    <t xml:space="preserve">403 "Maker-checker: you cannot approve your own change"</t>
  </si>
  <si>
    <t xml:space="preserve">TC-091</t>
  </si>
  <si>
    <t xml:space="preserve">Maker cannot reject own rule</t>
  </si>
  <si>
    <t xml:space="preserve">As TC-090</t>
  </si>
  <si>
    <t xml:space="preserve">POST /api/rules/:id/reject</t>
  </si>
  <si>
    <t xml:space="preserve">403 "Maker-checker: you cannot review your own change"</t>
  </si>
  <si>
    <t xml:space="preserve">TC-092</t>
  </si>
  <si>
    <t xml:space="preserve">Submission rules</t>
  </si>
  <si>
    <t xml:space="preserve">Draft by author</t>
  </si>
  <si>
    <t xml:space="preserve">Another author submits; author submits twice</t>
  </si>
  <si>
    <t xml:space="preserve">403 "Only the author can submit a draft"; second → 422 "Only drafts can be submitted (status: pending_approval)"</t>
  </si>
  <si>
    <t xml:space="preserve">TC-093</t>
  </si>
  <si>
    <t xml:space="preserve">Pending scoring@2 by author</t>
  </si>
  <si>
    <t xml:space="preserve">approver (MFA) approves</t>
  </si>
  <si>
    <t xml:space="preserve">scoring@2 active, scoring@1 retired with supersededBy; audit rules.approved; event rules.activated; GET /api/ops/status rules[] shows version 2 and its checksum</t>
  </si>
  <si>
    <t xml:space="preserve">TC-094</t>
  </si>
  <si>
    <t xml:space="preserve">Rollback goes through approval</t>
  </si>
  <si>
    <t xml:space="preserve">Active scoring@2</t>
  </si>
  <si>
    <t xml:space="preserve">POST /api/rules/scoring@1/rollback</t>
  </si>
  <si>
    <t xml:space="preserve">New draft scoring@3 with the payload of @1, description "Rollback to scoring@1"; @2 stays active until @3 is approved</t>
  </si>
  <si>
    <t xml:space="preserve">TC-095</t>
  </si>
  <si>
    <t xml:space="preserve">Banned discount wording in templates is rejected</t>
  </si>
  <si>
    <t xml:space="preserve">POST /api/rules {kind:"content.messages", payload:&lt;template with "giảm giá 10%"&gt;}; same with "Giam gia"</t>
  </si>
  <si>
    <t xml:space="preserve">400 "Rule set is invalid", details contain copy guard: "giảm giá"</t>
  </si>
  <si>
    <t xml:space="preserve">TC-096</t>
  </si>
  <si>
    <t xml:space="preserve">Scoring payload validation</t>
  </si>
  <si>
    <t xml:space="preserve">Validate scoring with weights summing to 90; tiers.hot ≤ warm</t>
  </si>
  <si>
    <t xml:space="preserve">Errors "factor weights must sum to 100 (got 90)", "tiers.hot must be greater than tiers.warm"</t>
  </si>
  <si>
    <t xml:space="preserve">TC-097</t>
  </si>
  <si>
    <t xml:space="preserve">Simulation without side effects</t>
  </si>
  <si>
    <t xml:space="preserve">campaign (rules:read)</t>
  </si>
  <si>
    <t xml:space="preserve">POST /api/rules/simulate {profileId, kind:"scoring", payload}</t>
  </si>
  <si>
    <t xml:space="preserve">{current, candidate} returned; no ruleset row created; invalid payload → 400 with errors</t>
  </si>
  <si>
    <t xml:space="preserve">TC-098</t>
  </si>
  <si>
    <t xml:space="preserve">Unknown JSON Logic operator rejected</t>
  </si>
  <si>
    <t xml:space="preserve">Validate a payload with {"eval": ["…"]} in a when</t>
  </si>
  <si>
    <t xml:space="preserve">Validation error (operator not allowed); nothing executed</t>
  </si>
  <si>
    <t xml:space="preserve">As expected. Evidence: test/unit/jsonLogic.test.js (5/5 passed)</t>
  </si>
  <si>
    <t xml:space="preserve">test/unit/jsonLogic.test.js</t>
  </si>
  <si>
    <t xml:space="preserve">TC-099</t>
  </si>
  <si>
    <t xml:space="preserve">Cache convergence across replicas</t>
  </si>
  <si>
    <t xml:space="preserve">2 app instances on the same Postgres</t>
  </si>
  <si>
    <t xml:space="preserve">Approve on instance A; read on B</t>
  </si>
  <si>
    <t xml:space="preserve">B serves the new version within ≤ 15 s (CACHE_TTL_MS)</t>
  </si>
  <si>
    <t xml:space="preserve">Scheduled for manual execution (accessibility / exploratory); no automated evidence in this run.</t>
  </si>
  <si>
    <t xml:space="preserve">PG</t>
  </si>
  <si>
    <t xml:space="preserve">test/pg/rules-cache.test.js (planned)</t>
  </si>
  <si>
    <t xml:space="preserve">TC-100</t>
  </si>
  <si>
    <t xml:space="preserve">Customer reports an accident</t>
  </si>
  <si>
    <t xml:space="preserve">Active own policy</t>
  </si>
  <si>
    <t xml:space="preserve">POST /api/customer/claims {policyId, incidentDate (in period), description, photos:3}</t>
  </si>
  <si>
    <t xml:space="preserve">200 CL-… submitted, slaDueAt = now + service_levels.claimAckSlaHours (4 h); event claim.submitted; description and location encrypted at rest</t>
  </si>
  <si>
    <t xml:space="preserve">TC-101</t>
  </si>
  <si>
    <t xml:space="preserve">IDOR: claim against another customer's policy</t>
  </si>
  <si>
    <t xml:space="preserve">B's policy id</t>
  </si>
  <si>
    <t xml:space="preserve">A submits FNOL</t>
  </si>
  <si>
    <t xml:space="preserve">404 "Policy not found"</t>
  </si>
  <si>
    <t xml:space="preserve">TC-102</t>
  </si>
  <si>
    <t xml:space="preserve">Incident outside cover</t>
  </si>
  <si>
    <t xml:space="preserve">incidentDate before startDate</t>
  </si>
  <si>
    <t xml:space="preserve">422 "Incident date is outside the policy period"</t>
  </si>
  <si>
    <t xml:space="preserve">TC-103</t>
  </si>
  <si>
    <t xml:space="preserve">Illegal status transition</t>
  </si>
  <si>
    <t xml:space="preserve">Claim submitted</t>
  </si>
  <si>
    <t xml:space="preserve">claims user PATCH {status:"paid"}</t>
  </si>
  <si>
    <t xml:space="preserve">422 "Cannot move claim from submitted to paid"</t>
  </si>
  <si>
    <t xml:space="preserve">TC-104</t>
  </si>
  <si>
    <t xml:space="preserve">Happy-path lifecycle</t>
  </si>
  <si>
    <t xml:space="preserve">acknowledged → assessor_assigned → under_assessment → approved → paid</t>
  </si>
  <si>
    <t xml:space="preserve">Each 200; history[] has 6 entries with actor and note; audit claim.status_changed ×5</t>
  </si>
  <si>
    <t xml:space="preserve">TC-105</t>
  </si>
  <si>
    <t xml:space="preserve">DSAR access export</t>
  </si>
  <si>
    <t xml:space="preserve">compliance (MFA); customer session</t>
  </si>
  <si>
    <t xml:space="preserve">POST /api/dsar/:id/export; customer GET /api/customer/data-export</t>
  </si>
  <si>
    <t xml:space="preserve">Profile, lead, policies, messages, source records (internal _hidden stripped) and voice sessions; audit dsar.access_exported</t>
  </si>
  <si>
    <t xml:space="preserve">TC-106</t>
  </si>
  <si>
    <t xml:space="preserve">Erasure blocked with an active policy</t>
  </si>
  <si>
    <t xml:space="preserve">Profile with an active policy</t>
  </si>
  <si>
    <t xml:space="preserve">POST /api/dsar/:id/erase</t>
  </si>
  <si>
    <t xml:space="preserve">422 "Active policy in force — personal data must be retained until expiry (legal obligation)"; nothing changed</t>
  </si>
  <si>
    <t xml:space="preserve">TC-107</t>
  </si>
  <si>
    <t xml:space="preserve">Erasure anonymises</t>
  </si>
  <si>
    <t xml:space="preserve">Profile with no active policy, messages and voice sessions</t>
  </si>
  <si>
    <t xml:space="preserve">Erase</t>
  </si>
  <si>
    <t xml:space="preserve">{erased:true}; profile name/phone null, anonymised:true, consent DNC; lead deleted; messages to:null, text:"[erased]"; transcripts and competitor/expiry statements emptied; handoffs name/phoneMasked/notes cleared; claims description:"[erased]", location:null (KI-29 fixed); source records' PII nulled; later quotes → 404; audit dsar.erased</t>
  </si>
  <si>
    <t xml:space="preserve">As expected. Evidence: test/api/api.test.js (9/9 passed) (fix for KI-29 verified)</t>
  </si>
  <si>
    <t xml:space="preserve">KI-29</t>
  </si>
  <si>
    <t xml:space="preserve">TC-108</t>
  </si>
  <si>
    <t xml:space="preserve">PII encrypted at rest</t>
  </si>
  <si>
    <t xml:space="preserve">Ingested profile</t>
  </si>
  <si>
    <t xml:space="preserve">store.collection('profiles').raw(id) (memory) / SELECT data FROM profiles (PG)</t>
  </si>
  <si>
    <t xml:space="preserve">name, phone, altPhones stored as enc:v1:&lt;keyId&gt;:…; phone_bidx is an HMAC, not the phone</t>
  </si>
  <si>
    <t xml:space="preserve">As expected. Evidence: test/unit/platform.test.js (10/10 passed)</t>
  </si>
  <si>
    <t xml:space="preserve">Unit / PG</t>
  </si>
  <si>
    <t xml:space="preserve">test/unit/platform.test.js, test/pg/encryption.test.js (planned)</t>
  </si>
  <si>
    <t xml:space="preserve">TC-109</t>
  </si>
  <si>
    <t xml:space="preserve">Logs redact secrets and PII</t>
  </si>
  <si>
    <t xml:space="preserve">Log sink captured</t>
  </si>
  <si>
    <t xml:space="preserve">Login, customer 360, partner key issue</t>
  </si>
  <si>
    <t xml:space="preserve">No log line contains password, token, apiKey, phone or name values (keys show [REDACTED])</t>
  </si>
  <si>
    <t xml:space="preserve">TC-110</t>
  </si>
  <si>
    <t xml:space="preserve">Audit immutability and tamper detection</t>
  </si>
  <si>
    <t xml:space="preserve">Postgres with ≥ 10 audit rows</t>
  </si>
  <si>
    <t xml:space="preserve">(a) As the app role: UPDATE audit_log …, DELETE FROM audit_log …, TRUNCATE audit_log; (b) as the table owner: disable trg_audit_log_immutable, UPDATE audit_log SET details='{}' WHERE seq=5, re-enable; GET /api/audit/verify</t>
  </si>
  <si>
    <t xml:space="preserve">(a) Each statement rejected by the triggers (migrations 001/002); (b) {ok:false, brokenAt:4, reason:"hash mismatch"}</t>
  </si>
  <si>
    <t xml:space="preserve">test/pg/audit-chain.test.js (planned)</t>
  </si>
  <si>
    <t xml:space="preserve">TC-111</t>
  </si>
  <si>
    <t xml:space="preserve">Audit chain stays linear under concurrency</t>
  </si>
  <si>
    <t xml:space="preserve">2 app instances</t>
  </si>
  <si>
    <t xml:space="preserve">500 parallel audited actions</t>
  </si>
  <si>
    <t xml:space="preserve">verify → ok:true, entries = 500 + baseline (advisory lock 724001)</t>
  </si>
  <si>
    <t xml:space="preserve">TC-112</t>
  </si>
  <si>
    <t xml:space="preserve">Initial data migration reconciles</t>
  </si>
  <si>
    <t xml:space="preserve">Source extract of N records (pilot cohort)</t>
  </si>
  <si>
    <t xml:space="preserve">Load via the ingest job/API in batches; compare</t>
  </si>
  <si>
    <t xml:space="preserve">Σ records = N; Σ rejected = count of invalid plates in the source; distinct profiles = distinct valid plate keys; 50 random profiles match source fields (masked comparison)</t>
  </si>
  <si>
    <t xml:space="preserve">Scheduled for SIT with production VETC/TASCO/Zalo adapters; no automated evidence in this run.</t>
  </si>
  <si>
    <t xml:space="preserve">SIT / UAT</t>
  </si>
  <si>
    <t xml:space="preserve">Manual (scripted checklist)</t>
  </si>
  <si>
    <t xml:space="preserve">TC-113</t>
  </si>
  <si>
    <t xml:space="preserve">Reconciliation job finds mismatches</t>
  </si>
  <si>
    <t xml:space="preserve">Seeded orders: one completed without paymentRef, one pending_payment 2 h old, one completed referencing a missing policy</t>
  </si>
  <si>
    <t xml:space="preserve">POST /api/ops/jobs/reconciliation (support)</t>
  </si>
  <si>
    <t xml:space="preserve">mismatches=3 with issues "missing payment reference", "stuck in pending_payment &gt; 1h", "policy … missing"; job_runs row succeeded; audit job.reconciliation</t>
  </si>
  <si>
    <t xml:space="preserve">TC-114</t>
  </si>
  <si>
    <t xml:space="preserve">Source records 400 days old; voice sessions 200 days old</t>
  </si>
  <si>
    <t xml:space="preserve">npm run job -- retention / POST /api/ops/jobs/retention</t>
  </si>
  <si>
    <t xml:space="preserve">Both deleted; other entities report "executed by archival pipeline" (KI-13); job run recorded</t>
  </si>
  <si>
    <t xml:space="preserve">Known issue KI-13 still open — expected behaviour not yet delivered; tracked in the KI register.</t>
  </si>
  <si>
    <t xml:space="preserve">KI-13</t>
  </si>
  <si>
    <t xml:space="preserve">TC-115</t>
  </si>
  <si>
    <t xml:space="preserve">Outbox retry then dead letter</t>
  </si>
  <si>
    <t xml:space="preserve">Subscriber that always throws</t>
  </si>
  <si>
    <t xml:space="preserve">Publish an event; relay × 5</t>
  </si>
  <si>
    <t xml:space="preserve">attempts 1..5; status pending until attempt 5, then dead_letter; lastError set; events_processed_total{status="dead_letter"} +1; already-succeeded handlers are not re-run (handled[])</t>
  </si>
  <si>
    <t xml:space="preserve">As expected. Evidence: test/unit/stores.test.js (3/3 passed)</t>
  </si>
  <si>
    <t xml:space="preserve">test/unit/stores.test.js</t>
  </si>
  <si>
    <t xml:space="preserve">TC-116</t>
  </si>
  <si>
    <t xml:space="preserve">Graceful shutdown</t>
  </si>
  <si>
    <t xml:space="preserve">Server under light load</t>
  </si>
  <si>
    <t xml:space="preserve">Send SIGTERM</t>
  </si>
  <si>
    <t xml:space="preserve">/health/ready → 503 not_ready immediately; in-flight requests complete; the process exits 0 within 25 s (forced exit 1 at 25 s)</t>
  </si>
  <si>
    <t xml:space="preserve">Scheduled for NFT / DR test window; no automated evidence in this run.</t>
  </si>
  <si>
    <t xml:space="preserve">NFT</t>
  </si>
  <si>
    <t xml:space="preserve">Manual (k8s drill) + test/integration/server-shutdown.test.js (planned)</t>
  </si>
  <si>
    <t xml:space="preserve">TC-117</t>
  </si>
  <si>
    <t xml:space="preserve">Unknown body properties rejected</t>
  </si>
  <si>
    <t xml:space="preserve">Any token</t>
  </si>
  <si>
    <t xml:space="preserve">POST /api/quotes with an extra discount: 10</t>
  </si>
  <si>
    <t xml:space="preserve">400 VALIDATION_FAILED, details "discount is not allowed"</t>
  </si>
  <si>
    <t xml:space="preserve">TC-118</t>
  </si>
  <si>
    <t xml:space="preserve">Oversized body</t>
  </si>
  <si>
    <t xml:space="preserve">POST 1 MiB + 1 byte to /api/auth/login</t>
  </si>
  <si>
    <t xml:space="preserve">413 PAYLOAD_TOO_LARGE; connection closed</t>
  </si>
  <si>
    <t xml:space="preserve">TC-119</t>
  </si>
  <si>
    <t xml:space="preserve">Wrong content type</t>
  </si>
  <si>
    <t xml:space="preserve">POST username=x as text/plain to /api/auth/login</t>
  </si>
  <si>
    <t xml:space="preserve">415 UNSUPPORTED_MEDIA_TYPE</t>
  </si>
  <si>
    <t xml:space="preserve">TC-120</t>
  </si>
  <si>
    <t xml:space="preserve">Path traversal on static files</t>
  </si>
  <si>
    <t xml:space="preserve">GET /../../etc/passwd, GET /..%2f..%2fpackage.json, GET /assets/..%2f..%2fsrc/server.js</t>
  </si>
  <si>
    <t xml:space="preserve">404 for each; no file content outside public/</t>
  </si>
  <si>
    <t xml:space="preserve">TC-121</t>
  </si>
  <si>
    <t xml:space="preserve">Login rate limiting</t>
  </si>
  <si>
    <t xml:space="preserve">RATE_LIMIT_LOGIN_MAX=10</t>
  </si>
  <si>
    <t xml:space="preserve">11 logins in 60 s from one IP</t>
  </si>
  <si>
    <t xml:space="preserve">11th → 429 RATE_LIMITED "Too many sign-in attempts — wait a minute", Retry-After: 60</t>
  </si>
  <si>
    <t xml:space="preserve">TC-122</t>
  </si>
  <si>
    <t xml:space="preserve">Global rate limiting</t>
  </si>
  <si>
    <t xml:space="preserve">RATE_LIMIT_MAX=300 (lower in test)</t>
  </si>
  <si>
    <t xml:space="preserve">Exceed the per-IP budget (certificate verify costs 2)</t>
  </si>
  <si>
    <t xml:space="preserve">429 with Retry-After = seconds to window reset; http_requests_total{status="429"}</t>
  </si>
  <si>
    <t xml:space="preserve">TC-123</t>
  </si>
  <si>
    <t xml:space="preserve">SQL injection in query filters</t>
  </si>
  <si>
    <t xml:space="preserve">Postgres store</t>
  </si>
  <si>
    <t xml:space="preserve">GET /api/leads?region=' OR '1'='1, ?tier=hot'--, GET /api/audit?entityId=x'%3B DROP TABLE audit_log--</t>
  </si>
  <si>
    <t xml:space="preserve">Region treated as a literal (0 rows, 200); tier → 400 enum; audit → 200 empty; tables intact (bind parameters)</t>
  </si>
  <si>
    <t xml:space="preserve">PG / Sec</t>
  </si>
  <si>
    <t xml:space="preserve">test/pg/injection.test.js (planned)</t>
  </si>
  <si>
    <t xml:space="preserve">TC-124</t>
  </si>
  <si>
    <t xml:space="preserve">SQL injection via path and sort</t>
  </si>
  <si>
    <t xml:space="preserve">Postgres</t>
  </si>
  <si>
    <t xml:space="preserve">GET /api/customers/1'%20OR%201=1--; GET /api/leads?sort=score;DROP</t>
  </si>
  <si>
    <t xml:space="preserve">404 Customer; 400 enum (sort ∈ score, expiry). Columns are never taken from input (assertColumns)</t>
  </si>
  <si>
    <t xml:space="preserve">TC-125</t>
  </si>
  <si>
    <t xml:space="preserve">Security headers</t>
  </si>
  <si>
    <t xml:space="preserve">NODE_ENV=production</t>
  </si>
  <si>
    <t xml:space="preserve">Any request</t>
  </si>
  <si>
    <t xml:space="preserve">CSP default-src 'self' … frame-ancestors 'none'; X-Content-Type-Options: nosniff; X-Frame-Options: DENY; Referrer-Policy: no-referrer; Strict-Transport-Security present only in production; no X-Powered-By; API responses Cache-Control: no-store</t>
  </si>
  <si>
    <t xml:space="preserve">TC-126</t>
  </si>
  <si>
    <t xml:space="preserve">CORS allow-list</t>
  </si>
  <si>
    <t xml:space="preserve">CORS_ORIGINS=https://console.tasco.vn</t>
  </si>
  <si>
    <t xml:space="preserve">Request with Origin: https://evil.example</t>
  </si>
  <si>
    <t xml:space="preserve">403 "Origin not allowed"; an allowed origin gets Access-Control-Allow-Origin echoed and Vary: Origin</t>
  </si>
  <si>
    <t xml:space="preserve">TC-127</t>
  </si>
  <si>
    <t xml:space="preserve">Method not allowed</t>
  </si>
  <si>
    <t xml:space="preserve">DELETE /api/leads</t>
  </si>
  <si>
    <t xml:space="preserve">405 METHOD_NOT_ALLOWED</t>
  </si>
  <si>
    <t xml:space="preserve">TC-128</t>
  </si>
  <si>
    <t xml:space="preserve">Request ID propagation</t>
  </si>
  <si>
    <t xml:space="preserve">Send X-Request-Id: abcd1234-ok; send X-Request-Id: &lt;script&gt;</t>
  </si>
  <si>
    <t xml:space="preserve">First echoed; second replaced by a UUID; error bodies carry requestId; access log line has requestId, route, status, ms</t>
  </si>
  <si>
    <t xml:space="preserve">TC-129</t>
  </si>
  <si>
    <t xml:space="preserve">Malformed percent-encoding (KI-11)</t>
  </si>
  <si>
    <t xml:space="preserve">GET /api/customers/%E0%A4%A</t>
  </si>
  <si>
    <t xml:space="preserve">400 VALIDATION_FAILED "Malformed path parameter" (KI-11 fixed); no unhandled error log</t>
  </si>
  <si>
    <t xml:space="preserve">As expected. Evidence: test/api/api.test.js (9/9 passed) (fix for KI-11 verified)</t>
  </si>
  <si>
    <t xml:space="preserve">KI-11</t>
  </si>
  <si>
    <t xml:space="preserve">TC-130</t>
  </si>
  <si>
    <t xml:space="preserve">Idempotency-Key required</t>
  </si>
  <si>
    <t xml:space="preserve">Customer quote</t>
  </si>
  <si>
    <t xml:space="preserve">POST /api/customer/orders without the header; with abc (too short)</t>
  </si>
  <si>
    <t xml:space="preserve">400 "Idempotency-Key header (8–100 chars) is required"</t>
  </si>
  <si>
    <t xml:space="preserve">TC-131</t>
  </si>
  <si>
    <t xml:space="preserve">Health probes</t>
  </si>
  <si>
    <t xml:space="preserve">GET /health/live; GET /health/ready; stop Postgres; GET /health/ready</t>
  </si>
  <si>
    <t xml:space="preserve">live 200 {status:"ok"}; ready 200 {status:"ready", store:"postgres", db:true}; with the DB down 503 {status:"not_ready", db:false}; live still 200</t>
  </si>
  <si>
    <t xml:space="preserve">test/pg/health.test.js (planned)</t>
  </si>
  <si>
    <t xml:space="preserve">TC-132</t>
  </si>
  <si>
    <t xml:space="preserve">Metrics exposition</t>
  </si>
  <si>
    <t xml:space="preserve">Traffic generated</t>
  </si>
  <si>
    <t xml:space="preserve">GET /metrics</t>
  </si>
  <si>
    <t xml:space="preserve">Text format 0.0.4 containing http_requests_total{method=…,route=…,status=…}, http_request_duration_seconds_bucket{…,le="0.005"} … le="+Inf", quotes_total, orders_completed_total, integration_calls_total, events_published_total, process_resident_memory_bytes</t>
  </si>
  <si>
    <t xml:space="preserve">TC-133</t>
  </si>
  <si>
    <t xml:space="preserve">OpenAPI contract completeness</t>
  </si>
  <si>
    <t xml:space="preserve">GET /api/openapi.json</t>
  </si>
  <si>
    <t xml:space="preserve">openapi:"3.1.0"; one operation per route in the route table (76 at the time of writing); partner routes use partnerApiKey, staff and customer use bearerAuth, public []; required Idempotency-Key on the 2 order routes (/api/customer/orders, /api/partner/v1/orders); request bodies additionalProperties:false; npm run job -- openapi output equals the committed docs/api/openapi.json</t>
  </si>
  <si>
    <t xml:space="preserve">TC-134</t>
  </si>
  <si>
    <t xml:space="preserve">Demo seed refused in production (KI-01)</t>
  </si>
  <si>
    <t xml:space="preserve">DEMO_MODE=false, Postgres</t>
  </si>
  <si>
    <t xml:space="preserve">npm run job -- seed</t>
  </si>
  <si>
    <t xml:space="preserve">Expected: exits non-zero, no users created. *Currently creates 14 demo users: KI-01*</t>
  </si>
  <si>
    <t xml:space="preserve">As expected. Evidence: test/security/security.test.js (12/12 passed) (fix for KI-01 verified)</t>
  </si>
  <si>
    <t xml:space="preserve">test/security/security.test.js (todo KI-01)</t>
  </si>
  <si>
    <t xml:space="preserve">KI-01</t>
  </si>
  <si>
    <t xml:space="preserve">TC-135</t>
  </si>
  <si>
    <t xml:space="preserve">Voice campaign respects contact policy (KI-09)</t>
  </si>
  <si>
    <t xml:space="preserve">Hot leads with call consent; time 21:00 ICT; one lead already called twice this week</t>
  </si>
  <si>
    <t xml:space="preserve">POST /api/voice/campaign {limit:5}</t>
  </si>
  <si>
    <t xml:space="preserve">called:0; skipped counts "outside allowed contact hours"; at 10:00 ICT the twice-called lead is skipped with "weekly call cap reached"; each call is recorded as a voice_bot marketing message for future caps. *Fixed in the current code via voice.canCall; residual risk on the at parameter: TC-162*</t>
  </si>
  <si>
    <t xml:space="preserve">As expected. Evidence: test/integration/governance.test.js (7/7 passed) (fix for KI-09 verified)</t>
  </si>
  <si>
    <t xml:space="preserve">KI-09</t>
  </si>
  <si>
    <t xml:space="preserve">TC-136</t>
  </si>
  <si>
    <t xml:space="preserve">Peak-hour mixed load</t>
  </si>
  <si>
    <t xml:space="preserve">PERF env, 6M profiles</t>
  </si>
  <si>
    <t xml:space="preserve">Run PERF-S1 (perf plan)</t>
  </si>
  <si>
    <t xml:space="preserve">p95 per endpoint within SLO; 5xx &lt; 0.1 %; CPU &lt; 70 % at target RPS</t>
  </si>
  <si>
    <t xml:space="preserve">As expected. Evidence: Load test: 5083 requests, 338.1 req/s, p95 114.6 ms, errors 0.0% (budget p95 ≤ 300 ms)</t>
  </si>
  <si>
    <t xml:space="preserve">test/perf/load.js</t>
  </si>
  <si>
    <t xml:space="preserve">TC-137</t>
  </si>
  <si>
    <t xml:space="preserve">Volume: 6M profiles initial load</t>
  </si>
  <si>
    <t xml:space="preserve">Empty PERF DB</t>
  </si>
  <si>
    <t xml:space="preserve">PERF-S7</t>
  </si>
  <si>
    <t xml:space="preserve">Completes within the load window; counts reconcile (TC-112 method)</t>
  </si>
  <si>
    <t xml:space="preserve">test/perf/load.js + ingest job</t>
  </si>
  <si>
    <t xml:space="preserve">TC-138</t>
  </si>
  <si>
    <t xml:space="preserve">Soak 12 h</t>
  </si>
  <si>
    <t xml:space="preserve">PERF env</t>
  </si>
  <si>
    <t xml:space="preserve">PERF-S11</t>
  </si>
  <si>
    <t xml:space="preserve">RSS slope &lt; 5 %/h after warm-up; no pool exhaustion; error rate flat</t>
  </si>
  <si>
    <t xml:space="preserve">TC-139</t>
  </si>
  <si>
    <t xml:space="preserve">Stress to failure</t>
  </si>
  <si>
    <t xml:space="preserve">PERF-S10</t>
  </si>
  <si>
    <t xml:space="preserve">Degrades with 429/503, never corrupts data; recovers to SLO within 5 min after load drops</t>
  </si>
  <si>
    <t xml:space="preserve">TC-140</t>
  </si>
  <si>
    <t xml:space="preserve">Circuit breaker state machine</t>
  </si>
  <si>
    <t xml:space="preserve">5 consecutive failed exec calls; wait resetMs; one success</t>
  </si>
  <si>
    <t xml:space="preserve">closed → open (short-circuit + metric) → half_open → closed (log "circuit closed"); a 4xx (non-retryable, except 429) does not count toward opening</t>
  </si>
  <si>
    <t xml:space="preserve">test/unit/platform.test.js</t>
  </si>
  <si>
    <t xml:space="preserve">TC-141</t>
  </si>
  <si>
    <t xml:space="preserve">Database failover</t>
  </si>
  <si>
    <t xml:space="preserve">PREPROD HA Postgres</t>
  </si>
  <si>
    <t xml:space="preserve">Trigger primary failover during load</t>
  </si>
  <si>
    <t xml:space="preserve">Readiness 503 during the switch; recovery without restart; no lost committed orders; RTO ≤ 2 min</t>
  </si>
  <si>
    <t xml:space="preserve">Manual (DR drill DR-T2)</t>
  </si>
  <si>
    <t xml:space="preserve">TC-142</t>
  </si>
  <si>
    <t xml:space="preserve">Pod loss under load</t>
  </si>
  <si>
    <t xml:space="preserve">k8s with PDB and HPA</t>
  </si>
  <si>
    <t xml:space="preserve">Delete 1 of 3 pods at peak</t>
  </si>
  <si>
    <t xml:space="preserve">No client-visible 5xx beyond retried in-flight requests; HPA restores replicas</t>
  </si>
  <si>
    <t xml:space="preserve">Manual (chaos drill)</t>
  </si>
  <si>
    <t xml:space="preserve">TC-143</t>
  </si>
  <si>
    <t xml:space="preserve">Restore from PITR</t>
  </si>
  <si>
    <t xml:space="preserve">PREPROD</t>
  </si>
  <si>
    <t xml:space="preserve">Restore to T−10 min into a new instance; point the app at it</t>
  </si>
  <si>
    <t xml:space="preserve">Data matches up to the target time; GET /api/audit/verify ok; RPO ≤ 5 min demonstrated</t>
  </si>
  <si>
    <t xml:space="preserve">Manual (DR drill DR-T1)</t>
  </si>
  <si>
    <t xml:space="preserve">TC-144</t>
  </si>
  <si>
    <t xml:space="preserve">Automated accessibility scan</t>
  </si>
  <si>
    <t xml:space="preserve">Front-end deployed</t>
  </si>
  <si>
    <t xml:space="preserve">axe-core on every page, light and dark, vi and en</t>
  </si>
  <si>
    <t xml:space="preserve">0 serious or critical violations</t>
  </si>
  <si>
    <t xml:space="preserve">CI a11y job (UX workstream)</t>
  </si>
  <si>
    <t xml:space="preserve">TC-145</t>
  </si>
  <si>
    <t xml:space="preserve">Screen-reader one-tap renewal</t>
  </si>
  <si>
    <t xml:space="preserve">VoiceOver iOS + TalkBack Android</t>
  </si>
  <si>
    <t xml:space="preserve">Open the renewal link → confirm → pay → certificate</t>
  </si>
  <si>
    <t xml:space="preserve">Every control has an accessible name in Vietnamese; payment result announced; certificate QR has a text alternative (cert no.)</t>
  </si>
  <si>
    <t xml:space="preserve">Scheduled for UAT with business users; no automated evidence in this run.</t>
  </si>
  <si>
    <t xml:space="preserve">UAT</t>
  </si>
  <si>
    <t xml:space="preserve">Manual</t>
  </si>
  <si>
    <t xml:space="preserve">TC-146</t>
  </si>
  <si>
    <t xml:space="preserve">Keyboard-only staff console</t>
  </si>
  <si>
    <t xml:space="preserve">NVDA + Firefox</t>
  </si>
  <si>
    <t xml:space="preserve">Leads → Customer 360 → quote → order; handoff claim</t>
  </si>
  <si>
    <t xml:space="preserve">Every action reachable; visible focus not obscured (WCAG 2.4.11); no keyboard trap</t>
  </si>
  <si>
    <t xml:space="preserve">TC-147</t>
  </si>
  <si>
    <t xml:space="preserve">Vietnamese template rendering</t>
  </si>
  <si>
    <t xml:space="preserve">Active content.messages</t>
  </si>
  <si>
    <t xml:space="preserve">Render every template with a fixture</t>
  </si>
  <si>
    <t xml:space="preserve">No unresolved {{…}}; date dd/mm/yyyy; premium vi-VN with đ; the link is the signed /app/?r= form</t>
  </si>
  <si>
    <t xml:space="preserve">TC-148</t>
  </si>
  <si>
    <t xml:space="preserve">English gloss for staff</t>
  </si>
  <si>
    <t xml:space="preserve">Voice transcript</t>
  </si>
  <si>
    <t xml:space="preserve">GET /api/voice/sessions/:id</t>
  </si>
  <si>
    <t xml:space="preserve">Each bot line has text (vi) and gloss (en)</t>
  </si>
  <si>
    <t xml:space="preserve">TC-149</t>
  </si>
  <si>
    <t xml:space="preserve">SMS length and diacritics</t>
  </si>
  <si>
    <t xml:space="preserve">SMS brandname rules</t>
  </si>
  <si>
    <t xml:space="preserve">Render the first_reminder, urgent_reminder and lapsed_notice SMS</t>
  </si>
  <si>
    <t xml:space="preserve">Within the agreed segment count (UCS-2 70 chars/segment) or the approved unaccented variant</t>
  </si>
  <si>
    <t xml:space="preserve">SIT</t>
  </si>
  <si>
    <t xml:space="preserve">TC-150</t>
  </si>
  <si>
    <t xml:space="preserve">Zalo ZNS template delivery</t>
  </si>
  <si>
    <t xml:space="preserve">Templates approved by Zalo; OA test account</t>
  </si>
  <si>
    <t xml:space="preserve">Trigger first_reminder and purchase_confirmation</t>
  </si>
  <si>
    <t xml:space="preserve">Delivered with correct parameter mapping; providerMessageId stored; delivery receipt correlated</t>
  </si>
  <si>
    <t xml:space="preserve">TC-151</t>
  </si>
  <si>
    <t xml:space="preserve">VETC SSO token exchange</t>
  </si>
  <si>
    <t xml:space="preserve">VETC identity UAT</t>
  </si>
  <si>
    <t xml:space="preserve">Exchange a valid, an expired and a foreign-audience token at POST /api/customer/session</t>
  </si>
  <si>
    <t xml:space="preserve">Valid → customer token; others → 401 "Link invalid or expired"</t>
  </si>
  <si>
    <t xml:space="preserve">Manual → test/api contract stub</t>
  </si>
  <si>
    <t xml:space="preserve">TC-152</t>
  </si>
  <si>
    <t xml:space="preserve">Wallet debit idempotency and refund</t>
  </si>
  <si>
    <t xml:space="preserve">VETC wallet UAT test wallets</t>
  </si>
  <si>
    <t xml:space="preserve">Debit with the same idempotency key twice; force a client timeout then retry; refund</t>
  </si>
  <si>
    <t xml:space="preserve">One capture; same transactionId; refund reflected in the wallet</t>
  </si>
  <si>
    <t xml:space="preserve">TC-153</t>
  </si>
  <si>
    <t xml:space="preserve">TASCO core issuance</t>
  </si>
  <si>
    <t xml:space="preserve">TASCO core UAT</t>
  </si>
  <si>
    <t xml:space="preserve">Issue TNDS car, motorbike, MOTOR_PD, PA_SEAT</t>
  </si>
  <si>
    <t xml:space="preserve">Policy and certificate numbers returned; the certificate URL opens /verify/&lt;certNo&gt;</t>
  </si>
  <si>
    <t xml:space="preserve">TC-154</t>
  </si>
  <si>
    <t xml:space="preserve">Voice vendor integration</t>
  </si>
  <si>
    <t xml:space="preserve">Vendor SIP test trunk; test SIM</t>
  </si>
  <si>
    <t xml:space="preserve">Place a campaign call; speak the plate; opt out</t>
  </si>
  <si>
    <t xml:space="preserve">ASR turns reach the dialogue; plate-first verification works on real speech; the opt-out persists</t>
  </si>
  <si>
    <t xml:space="preserve">TC-155</t>
  </si>
  <si>
    <t xml:space="preserve">Settlement reconciliation</t>
  </si>
  <si>
    <t xml:space="preserve">One day of SIT orders</t>
  </si>
  <si>
    <t xml:space="preserve">Compare orders with the VETC settlement file and the TASCO issuance report</t>
  </si>
  <si>
    <t xml:space="preserve">Zero unexplained differences; differences raised to RB-11</t>
  </si>
  <si>
    <t xml:space="preserve">Known issue KI-18 still open — expected behaviour not yet delivered; tracked in the KI register.</t>
  </si>
  <si>
    <t xml:space="preserve">Manual (KI-18)</t>
  </si>
  <si>
    <t xml:space="preserve">KI-18</t>
  </si>
  <si>
    <t xml:space="preserve">TC-156</t>
  </si>
  <si>
    <t xml:space="preserve">Staff can never debit a customer wallet</t>
  </si>
  <si>
    <t xml:space="preserve">Open quote; staff principal (agent.hn)</t>
  </si>
  <si>
    <t xml:space="preserve">Call sales.purchase as staff (no staff order route exists any more)</t>
  </si>
  <si>
    <t xml:space="preserve">403 "Only the customer can confirm payment, inside the VETC app"; no debit; order payment_failed recorded</t>
  </si>
  <si>
    <t xml:space="preserve">TC-157</t>
  </si>
  <si>
    <t xml:space="preserve">Assisted sale: send the quote to the customer</t>
  </si>
  <si>
    <t xml:space="preserve">agent.hn, HN customer reachable on app push</t>
  </si>
  <si>
    <t xml:space="preserve">POST /api/quotes → POST /api/quotes/:id/send; customer GET /api/customer/quotes → POST /api/customer/orders</t>
  </si>
  <si>
    <t xml:space="preserve">Service message quote_ready (marketing:false) on the first reachable channel; audit quote.sent_to_customer; the quote appears in the customer's open quotes until expiry; the customer pays once; a sent quote that is no longer open → 422</t>
  </si>
  <si>
    <t xml:space="preserve">TC-158</t>
  </si>
  <si>
    <t xml:space="preserve">Region check before side effects on quote send (KI-32)</t>
  </si>
  <si>
    <t xml:space="preserve">agent.hn; quote for an HCM customer</t>
  </si>
  <si>
    <t xml:space="preserve">POST /api/quotes/:id/send</t>
  </si>
  <si>
    <t xml:space="preserve">Expected: 403 and the quote not modified. *Currently the quote is marked sent and audited before the 403: KI-32*</t>
  </si>
  <si>
    <t xml:space="preserve">As expected. Evidence: test/security/security.test.js (12/12 passed) (fix for KI-32 verified)</t>
  </si>
  <si>
    <t xml:space="preserve">test/security/security.test.js (todo KI-32)</t>
  </si>
  <si>
    <t xml:space="preserve">KI-32</t>
  </si>
  <si>
    <t xml:space="preserve">TC-159</t>
  </si>
  <si>
    <t xml:space="preserve">Production refuses to run without a database (KI-28)</t>
  </si>
  <si>
    <t xml:space="preserve">NODE_ENV=production, secrets set, no DATABASE_URL</t>
  </si>
  <si>
    <t xml:space="preserve">Start the server</t>
  </si>
  <si>
    <t xml:space="preserve">Expected: fatal startup error. *Currently boots on the in-memory store: KI-28*</t>
  </si>
  <si>
    <t xml:space="preserve">As expected. Evidence: test/unit/platform.test.js (10/10 passed) (fix for KI-28 verified)</t>
  </si>
  <si>
    <t xml:space="preserve">test/unit/platform.test.js (todo KI-28)</t>
  </si>
  <si>
    <t xml:space="preserve">KI-28</t>
  </si>
  <si>
    <t xml:space="preserve">TC-160</t>
  </si>
  <si>
    <t xml:space="preserve">Replay of a failed order (KI-31)</t>
  </si>
  <si>
    <t xml:space="preserve">Customer order failed at payment</t>
  </si>
  <si>
    <t xml:space="preserve">Re-send with the same Idempotency-Key</t>
  </si>
  <si>
    <t xml:space="preserve">Expected: the original error status (e.g. 503/422), not 200. *Currently 200 with idempotentReplay:true and the failed order: KI-31*; retry with a new key succeeds</t>
  </si>
  <si>
    <t xml:space="preserve">As expected. Evidence: test/api/api.test.js (9/9 passed) (fix for KI-31 verified)</t>
  </si>
  <si>
    <t xml:space="preserve">test/api/api.test.js (todo KI-31)</t>
  </si>
  <si>
    <t xml:space="preserve">KI-31</t>
  </si>
  <si>
    <t xml:space="preserve">TC-161</t>
  </si>
  <si>
    <t xml:space="preserve">Partner order settlement</t>
  </si>
  <si>
    <t xml:space="preserve">Partner key; partner quote</t>
  </si>
  <si>
    <t xml:space="preserve">POST /api/partner/v1/orders</t>
  </si>
  <si>
    <t xml:space="preserve">Order completed; paymentRef PARTNER-&lt;partnerId&gt;-&lt;orderId&gt;; no wallet call (integration_calls_total{integration="vetc-wallet"} unchanged); commission lines capped</t>
  </si>
  <si>
    <t xml:space="preserve">TC-162</t>
  </si>
  <si>
    <t xml:space="preserve">Time override cannot bypass the contact window in production</t>
  </si>
  <si>
    <t xml:space="preserve">NODE_ENV=production; real time 21:00 ICT</t>
  </si>
  <si>
    <t xml:space="preserve">POST /api/voice/campaign {at:"&lt;today&gt;T03:00:00Z"}; POST /api/journeys/run {at:"…T03:00:00Z"}</t>
  </si>
  <si>
    <t xml:space="preserve">Expected: at is rejected or ignored outside test/demo modes, so no marketing calls or messages go out. *Currently at overrides the clock for both: residual of KI-05/KI-09, tracked as KI-33*</t>
  </si>
  <si>
    <t xml:space="preserve">As expected. Evidence: test/security/security.test.js (12/12 passed) (fix for KI-05, KI-09, KI-33 verified)</t>
  </si>
  <si>
    <t xml:space="preserve">test/security/security.test.js (todo KI-33)</t>
  </si>
  <si>
    <t xml:space="preserve">KI-05, KI-09, KI-33</t>
  </si>
  <si>
    <t xml:space="preserve">TC-163</t>
  </si>
  <si>
    <t xml:space="preserve">Physical damage needs an inspection before payment</t>
  </si>
  <si>
    <t xml:space="preserve">Customer quote with MOTOR_PD (requiresInspection:true)</t>
  </si>
  <si>
    <t xml:space="preserve">Customer pays; then staff POST /api/quotes/:id/inspection {passed:true, evidence}; customer pays again with a new key</t>
  </si>
  <si>
    <t xml:space="preserve">First → 422 "Physical damage cover needs a vehicle inspection first …"; inspection recorded (audit quote.inspection_recorded); then 200 completed</t>
  </si>
  <si>
    <t xml:space="preserve">TC-164</t>
  </si>
  <si>
    <t xml:space="preserve">Claim detail for claims handlers</t>
  </si>
  <si>
    <t xml:space="preserve">claims user</t>
  </si>
  <si>
    <t xml:space="preserve">GET /api/claims/:id; unknown id</t>
  </si>
  <si>
    <t xml:space="preserve">200 with history; 404 "Claim not found"; other roles → 403</t>
  </si>
  <si>
    <t xml:space="preserve">Automated test execution — individual results</t>
  </si>
  <si>
    <t xml:space="preserve">Suite file</t>
  </si>
  <si>
    <t xml:space="preserve">Layer</t>
  </si>
  <si>
    <t xml:space="preserve">#</t>
  </si>
  <si>
    <t xml:space="preserve">Test scenario (as named in code)</t>
  </si>
  <si>
    <t xml:space="preserve">Run date</t>
  </si>
  <si>
    <t xml:space="preserve">health, readiness, metrics, OpenAPI and static assets</t>
  </si>
  <si>
    <t xml:space="preserve">authentication and authorisation (401/403) and error envelope</t>
  </si>
  <si>
    <t xml:space="preserve">MFA login over HTTP and demo TOTP helper</t>
  </si>
  <si>
    <t xml:space="preserve">campaign manager journey: dashboard, leads, customer 360 (masked), journeys, events, voice campaign</t>
  </si>
  <si>
    <t xml:space="preserve">telesales agent: voice console → handoff → claim → quote → issue (idempotent)</t>
  </si>
  <si>
    <t xml:space="preserve">rule author + approver maker-checker over HTTP, with simulation</t>
  </si>
  <si>
    <t xml:space="preserve">partner API: API key auth, new-vehicle onboarding, bind, own policies, statement, IDOR protection</t>
  </si>
  <si>
    <t xml:space="preserve">customer app: signed-link session, home, declare expiry, quote, pay, consent, claim, export; IDOR blocked</t>
  </si>
  <si>
    <t xml:space="preserve">data steward, compliance (DSAR), auditor, admin and support endpoints</t>
  </si>
  <si>
    <t xml:space="preserve">US-001 · Duplicate records for the same vehicle merge into one golden profile</t>
  </si>
  <si>
    <t xml:space="preserve">US-001 · Invalid plate is rejected and raised as a DQ issue</t>
  </si>
  <si>
    <t xml:space="preserve">US-001 · Batch size limit</t>
  </si>
  <si>
    <t xml:space="preserve">US-002 · Verified certificate wins</t>
  </si>
  <si>
    <t xml:space="preserve">US-002 · Agreeing weak evidence is corroborated</t>
  </si>
  <si>
    <t xml:space="preserve">US-002 · Lineage shows the evidence</t>
  </si>
  <si>
    <t xml:space="preserve">US-003 · Correction requires evidence and is audited</t>
  </si>
  <si>
    <t xml:space="preserve">US-003 · Missing evidence</t>
  </si>
  <si>
    <t xml:space="preserve">US-004 · Filter and resolve</t>
  </si>
  <si>
    <t xml:space="preserve">US-005 · Customer declaration beats a weaker reload</t>
  </si>
  <si>
    <t xml:space="preserve">US-005 · Consent withdrawal survives reload</t>
  </si>
  <si>
    <t xml:space="preserve">US-006 · Declared seats beat toll class</t>
  </si>
  <si>
    <t xml:space="preserve">US-006 · Toll class only</t>
  </si>
  <si>
    <t xml:space="preserve">US-007 · Score, tier and reasons</t>
  </si>
  <si>
    <t xml:space="preserve">US-007 · Do-not-contact zeroes the score</t>
  </si>
  <si>
    <t xml:space="preserve">US-007 · Filtering</t>
  </si>
  <si>
    <t xml:space="preserve">US-008 · First matching NBA rule wins</t>
  </si>
  <si>
    <t xml:space="preserve">US-009 · Region scoping</t>
  </si>
  <si>
    <t xml:space="preserve">US-009 · Profile outside region</t>
  </si>
  <si>
    <t xml:space="preserve">US-010 · Purchase stops journeys</t>
  </si>
  <si>
    <t xml:space="preserve">US-011 · Recompute</t>
  </si>
  <si>
    <t xml:space="preserve">US-012 · Renewal cadence is planned from expiry</t>
  </si>
  <si>
    <t xml:space="preserve">US-012 · App push first, then fallback</t>
  </si>
  <si>
    <t xml:space="preserve">US-013 · Outside the contact window</t>
  </si>
  <si>
    <t xml:space="preserve">US-013 · Weekly cap</t>
  </si>
  <si>
    <t xml:space="preserve">US-013 · No marketing consent</t>
  </si>
  <si>
    <t xml:space="preserve">US-014 · Send-time block</t>
  </si>
  <si>
    <t xml:space="preserve">US-014 · Diacritic-insensitive</t>
  </si>
  <si>
    <t xml:space="preserve">US-015 · Service message bypasses caps but not DNC</t>
  </si>
  <si>
    <t xml:space="preserve">US-016 · Journey escalation</t>
  </si>
  <si>
    <t xml:space="preserve">US-017 · Lapsed vehicle enters the recovery journey</t>
  </si>
  <si>
    <t xml:space="preserve">US-017 · Lapsed too long is not assumed uninsured</t>
  </si>
  <si>
    <t xml:space="preserve">US-018 · Tag activation triggers onboarding</t>
  </si>
  <si>
    <t xml:space="preserve">US-019 · Conquest copy is benefit-led and lawful</t>
  </si>
  <si>
    <t xml:space="preserve">US-020 · Inspection booked with expiry soon</t>
  </si>
  <si>
    <t xml:space="preserve">US-020 · Expiry far away</t>
  </si>
  <si>
    <t xml:space="preserve">US-021 · Wallet top-up within ±30 days of expiry</t>
  </si>
  <si>
    <t xml:space="preserve">US-022 · Simulator</t>
  </si>
  <si>
    <t xml:space="preserve">US-023 · Opening line</t>
  </si>
  <si>
    <t xml:space="preserve">US-024 · Spoken plate matches</t>
  </si>
  <si>
    <t xml:space="preserve">US-024 · Plate mismatch</t>
  </si>
  <si>
    <t xml:space="preserve">US-024 · Plate not understood three times</t>
  </si>
  <si>
    <t xml:space="preserve">US-025 · Price asked</t>
  </si>
  <si>
    <t xml:space="preserve">US-026 · Scam concern at any point</t>
  </si>
  <si>
    <t xml:space="preserve">US-027 · Already renewed</t>
  </si>
  <si>
    <t xml:space="preserve">US-028 · Opt-out</t>
  </si>
  <si>
    <t xml:space="preserve">US-029 · Eligible customers only</t>
  </si>
  <si>
    <t xml:space="preserve">US-029 · Contact policy applies to campaigns (target behaviour)</t>
  </si>
  <si>
    <t xml:space="preserve">US-030 · Console session</t>
  </si>
  <si>
    <t xml:space="preserve">US-030 · DNC customer</t>
  </si>
  <si>
    <t xml:space="preserve">US-031 · Governance dashboard</t>
  </si>
  <si>
    <t xml:space="preserve">US-032 · Handoff content</t>
  </si>
  <si>
    <t xml:space="preserve">US-033 · Claim</t>
  </si>
  <si>
    <t xml:space="preserve">US-033 · Invalid transition</t>
  </si>
  <si>
    <t xml:space="preserve">US-033 · Someone else's handoff</t>
  </si>
  <si>
    <t xml:space="preserve">US-034 · Assign</t>
  </si>
  <si>
    <t xml:space="preserve">US-034 · Agent cannot assign</t>
  </si>
  <si>
    <t xml:space="preserve">US-035 · Quote on the call, pay in app</t>
  </si>
  <si>
    <t xml:space="preserve">US-035 · Payment is customer-confirmed (target behaviour)</t>
  </si>
  <si>
    <t xml:space="preserve">US-036 · Signed link</t>
  </si>
  <si>
    <t xml:space="preserve">US-036 · Tampered link</t>
  </si>
  <si>
    <t xml:space="preserve">US-037 · Low confidence asks for confirmation</t>
  </si>
  <si>
    <t xml:space="preserve">US-038 · Declare expiry</t>
  </si>
  <si>
    <t xml:space="preserve">US-039 · Happy path</t>
  </si>
  <si>
    <t xml:space="preserve">US-039 · Double tap</t>
  </si>
  <si>
    <t xml:space="preserve">US-039 · Expired quote</t>
  </si>
  <si>
    <t xml:space="preserve">US-040 · Verification without PII</t>
  </si>
  <si>
    <t xml:space="preserve">US-040 · Unknown certificate</t>
  </si>
  <si>
    <t xml:space="preserve">US-041 · Multi-year</t>
  </si>
  <si>
    <t xml:space="preserve">US-041 · Out of range</t>
  </si>
  <si>
    <t xml:space="preserve">US-042 · Issuance failure after payment</t>
  </si>
  <si>
    <t xml:space="preserve">US-043 · Personalised ranking</t>
  </si>
  <si>
    <t xml:space="preserve">US-043 · Legal gating</t>
  </si>
  <si>
    <t xml:space="preserve">US-044 · PA add-on</t>
  </si>
  <si>
    <t xml:space="preserve">US-045 · PD rating</t>
  </si>
  <si>
    <t xml:space="preserve">US-045 · Referral above the online limit</t>
  </si>
  <si>
    <t xml:space="preserve">US-046 · Cross-sell scheduled</t>
  </si>
  <si>
    <t xml:space="preserve">US-046 · Already bought add-ons or no consent</t>
  </si>
  <si>
    <t xml:space="preserve">US-047 · Referral disabled</t>
  </si>
  <si>
    <t xml:space="preserve">US-048 · Confirm-before-debit</t>
  </si>
  <si>
    <t xml:space="preserve">US-049 · Onboard and issue key</t>
  </si>
  <si>
    <t xml:space="preserve">US-050 · Unknown plate becomes a new profile</t>
  </si>
  <si>
    <t xml:space="preserve">US-050 · Product not sold on partner channel</t>
  </si>
  <si>
    <t xml:space="preserve">US-051 · Own quote</t>
  </si>
  <si>
    <t xml:space="preserve">US-051 · Another partner's quote</t>
  </si>
  <si>
    <t xml:space="preserve">US-052 · Statement</t>
  </si>
  <si>
    <t xml:space="preserve">US-052 · Cap enforced</t>
  </si>
  <si>
    <t xml:space="preserve">US-053 · Suspension blocks API access</t>
  </si>
  <si>
    <t xml:space="preserve">US-054 · Fleet routing</t>
  </si>
  <si>
    <t xml:space="preserve">US-054 · No B2C journeys for fleet (target behaviour)</t>
  </si>
  <si>
    <t xml:space="preserve">US-055 · Fleet view — consolidated fleet dashboard is on the roadmap (benefit marked available=false)</t>
  </si>
  <si>
    <t xml:space="preserve">US-056 · Valid FNOL</t>
  </si>
  <si>
    <t xml:space="preserve">US-056 · Outside policy period</t>
  </si>
  <si>
    <t xml:space="preserve">US-056 · Not my policy</t>
  </si>
  <si>
    <t xml:space="preserve">US-057 · Valid transition</t>
  </si>
  <si>
    <t xml:space="preserve">US-057 · Skipping steps</t>
  </si>
  <si>
    <t xml:space="preserve">US-058 · My claims only</t>
  </si>
  <si>
    <t xml:space="preserve">US-059 · Withdraw call consent</t>
  </si>
  <si>
    <t xml:space="preserve">US-060 · Self-service export</t>
  </si>
  <si>
    <t xml:space="preserve">US-061 · Active policy blocks erasure</t>
  </si>
  <si>
    <t xml:space="preserve">US-061 · Erasure</t>
  </si>
  <si>
    <t xml:space="preserve">US-062 · Masking</t>
  </si>
  <si>
    <t xml:space="preserve">US-063 · Invalid weights rejected</t>
  </si>
  <si>
    <t xml:space="preserve">US-063 · Valid draft</t>
  </si>
  <si>
    <t xml:space="preserve">US-064 · Current vs candidate</t>
  </si>
  <si>
    <t xml:space="preserve">US-065 · Self-approval forbidden</t>
  </si>
  <si>
    <t xml:space="preserve">US-065 · Approval activates and retires</t>
  </si>
  <si>
    <t xml:space="preserve">US-066 · Rollback is a governed change</t>
  </si>
  <si>
    <t xml:space="preserve">US-067 · Banned phrase in template</t>
  </si>
  <si>
    <t xml:space="preserve">US-068 · Cap</t>
  </si>
  <si>
    <t xml:space="preserve">US-069 · Two-step login</t>
  </si>
  <si>
    <t xml:space="preserve">US-069 · Privileged role without MFA enrolment</t>
  </si>
  <si>
    <t xml:space="preserve">US-070 · Lockout</t>
  </si>
  <si>
    <t xml:space="preserve">US-071 · Create agent</t>
  </si>
  <si>
    <t xml:space="preserve">US-071 · Weak password</t>
  </si>
  <si>
    <t xml:space="preserve">US-071 · Admin cannot read PII or approve rules</t>
  </si>
  <si>
    <t xml:space="preserve">US-072 · Verify</t>
  </si>
  <si>
    <t xml:space="preserve">US-072 · Tampering detected</t>
  </si>
  <si>
    <t xml:space="preserve">US-073 · Overview</t>
  </si>
  <si>
    <t xml:space="preserve">US-074 · Status</t>
  </si>
  <si>
    <t xml:space="preserve">US-074 · Reconciliation</t>
  </si>
  <si>
    <t xml:space="preserve">US-075 · Retention job</t>
  </si>
  <si>
    <t xml:space="preserve">US-076 · Language toggle — UI behaviour, verified manually / in UAT (VI ⇄ EN on staff console)</t>
  </si>
  <si>
    <t xml:space="preserve">US-077 · Scan — physical QR scan of an e-certificate with a phone camera, verified in UAT</t>
  </si>
  <si>
    <t xml:space="preserve">rules: maker-checker lifecycle with validation, four-eyes and rollback</t>
  </si>
  <si>
    <t xml:space="preserve">identity: login, MFA, lockout, password change, user admin</t>
  </si>
  <si>
    <t xml:space="preserve">privileged roles must self-enrol MFA; lockout also covers the MFA step</t>
  </si>
  <si>
    <t xml:space="preserve">access policy: RBAC deny-by-default, ABAC region and assignment, PII masking</t>
  </si>
  <si>
    <t xml:space="preserve">voice service: console session, campaign calls, outcomes feed data and telesales</t>
  </si>
  <si>
    <t xml:space="preserve">customer self-service: home, declare expiry, consent, claims FNOL, DSAR export/erase</t>
  </si>
  <si>
    <t xml:space="preserve">ops: retention, DQ resolution, lineage, jobs, adoption KPIs</t>
  </si>
  <si>
    <t xml:space="preserve">seed builds golden records, leads and touchpoints for new business and retention</t>
  </si>
  <si>
    <t xml:space="preserve">journey run respects contact hours: night run sends only service notices</t>
  </si>
  <si>
    <t xml:space="preserve">ecosystem events trigger moments of truth</t>
  </si>
  <si>
    <t xml:space="preserve">lead recompute is incremental and audit-logged</t>
  </si>
  <si>
    <t xml:space="preserve">window-blocked touchpoints are deferred, not lost</t>
  </si>
  <si>
    <t xml:space="preserve">admin reset unlocks accounts and forces MFA re-enrolment without revealing seeds</t>
  </si>
  <si>
    <t xml:space="preserve">quote: regulated TNDS + add-ons, bundle detection, channel restrictions</t>
  </si>
  <si>
    <t xml:space="preserve">purchase: pay → issue → certificate; idempotent replay; golden record updated; journeys stop; cross-sell planned</t>
  </si>
  <si>
    <t xml:space="preserve">staff can never debit a customer wallet</t>
  </si>
  <si>
    <t xml:space="preserve">expired quote and payment failure are handled</t>
  </si>
  <si>
    <t xml:space="preserve">issuance failure after payment triggers refund + reconciliation flag</t>
  </si>
  <si>
    <t xml:space="preserve">partner channel: onboarding a new vehicle, commission within statutory caps, key lifecycle</t>
  </si>
  <si>
    <t xml:space="preserve">saga compensation: partial issuance cancels issued lines and refunds; failed keys cannot be replayed as success</t>
  </si>
  <si>
    <t xml:space="preserve">copy guard catches whitespace and spacing evasions</t>
  </si>
  <si>
    <t xml:space="preserve">test/pg/postgres.test.js</t>
  </si>
  <si>
    <t xml:space="preserve">migrations are idempotent and tables exist</t>
  </si>
  <si>
    <t xml:space="preserve">seeded platform works on Postgres: profiles, leads, rules, filtering</t>
  </si>
  <si>
    <t xml:space="preserve">PII is encrypted at rest in Postgres and blind index works</t>
  </si>
  <si>
    <t xml:space="preserve">optimistic locking and parameterised filters resist injection</t>
  </si>
  <si>
    <t xml:space="preserve">audit trail: chain verifies and the database blocks UPDATE, DELETE and TRUNCATE</t>
  </si>
  <si>
    <t xml:space="preserve">one active rule version per kind is enforced by the database</t>
  </si>
  <si>
    <t xml:space="preserve">outbox claims are exclusive across concurrent relays (SKIP LOCKED)</t>
  </si>
  <si>
    <t xml:space="preserve">end-to-end sale on Postgres with transactional rule approval</t>
  </si>
  <si>
    <t xml:space="preserve">A01 broken access control: role, region, IDOR and staff/customer token separation</t>
  </si>
  <si>
    <t xml:space="preserve">A02 cryptographic failures: PII encrypted at rest, secrets never returned</t>
  </si>
  <si>
    <t xml:space="preserve">A03 injection: unknown filter columns, oversized/hostile inputs, JSON-only bodies</t>
  </si>
  <si>
    <t xml:space="preserve">A05 security misconfiguration: headers, no stack traces, path traversal, CORS</t>
  </si>
  <si>
    <t xml:space="preserve">A07 identification &amp; authentication: alg=none, forged and expired tokens, brute force</t>
  </si>
  <si>
    <t xml:space="preserve">rate limiting on sign-in returns 429 with Retry-After</t>
  </si>
  <si>
    <t xml:space="preserve">A08/A09 integrity &amp; logging: audit chain intact; signed links cannot be forged</t>
  </si>
  <si>
    <t xml:space="preserve">demo endpoints are disabled when DEMO_MODE is off</t>
  </si>
  <si>
    <t xml:space="preserve">hardening regressions: proxy IP, metrics auth, key scopes, malformed paths, link expiry, erasure</t>
  </si>
  <si>
    <t xml:space="preserve">concurrent purchases of one quote cannot double-charge</t>
  </si>
  <si>
    <t xml:space="preserve">security-sensitive rule kinds need a compliance officer to approve</t>
  </si>
  <si>
    <t xml:space="preserve">ABAC cannot be widened by adding an unrelated role</t>
  </si>
  <si>
    <t xml:space="preserve">test/unit/identity.test.js</t>
  </si>
  <si>
    <t xml:space="preserve">normalizePlate handles dirty formats</t>
  </si>
  <si>
    <t xml:space="preserve">normalizePhone canonicalises Vietnamese mobiles</t>
  </si>
  <si>
    <t xml:space="preserve">extractPlateFromSpeech understands digits and spoken Vietnamese numbers</t>
  </si>
  <si>
    <t xml:space="preserve">jsonLogic: comparison, arithmetic and logic operators</t>
  </si>
  <si>
    <t xml:space="preserve">jsonLogic: and/or/if short-circuit</t>
  </si>
  <si>
    <t xml:space="preserve">jsonLogic: rejects prototype access and unknown operators</t>
  </si>
  <si>
    <t xml:space="preserve">template renders placeholders</t>
  </si>
  <si>
    <t xml:space="preserve">decision tables: first and collect hit policies, defaults, validation</t>
  </si>
  <si>
    <t xml:space="preserve">field cipher: AES-256-GCM round trip, key rotation, tamper detection</t>
  </si>
  <si>
    <t xml:space="preserve">blind index, passwords and policy</t>
  </si>
  <si>
    <t xml:space="preserve">JWT: signs, verifies, rejects tampering, alg=none, expiry and wrong audience</t>
  </si>
  <si>
    <t xml:space="preserve">TOTP (RFC 6238) and base32</t>
  </si>
  <si>
    <t xml:space="preserve">validation: allow-list, types, coercion, nested and errors</t>
  </si>
  <si>
    <t xml:space="preserve">circuit breaker: retries, opens, short-circuits, half-opens and recovers</t>
  </si>
  <si>
    <t xml:space="preserve">logger redacts PII and secrets; metrics render Prometheus format</t>
  </si>
  <si>
    <t xml:space="preserve">config: dev defaults, secrets from files, production hard-fails</t>
  </si>
  <si>
    <t xml:space="preserve">errors, util and clock helpers</t>
  </si>
  <si>
    <t xml:space="preserve">migration 001 matches the collection registry (schema drift guard)</t>
  </si>
  <si>
    <t xml:space="preserve">every shipped default rule set is valid</t>
  </si>
  <si>
    <t xml:space="preserve">validators reject bad payloads</t>
  </si>
  <si>
    <t xml:space="preserve">enrichment builds golden profiles with lineage, survivorship and DQ issues</t>
  </si>
  <si>
    <t xml:space="preserve">expiry inference prefers verified certificates and corroborates</t>
  </si>
  <si>
    <t xml:space="preserve">vehicle category inference from toll class and seats</t>
  </si>
  <si>
    <t xml:space="preserve">lead evaluation: TASCO customer expiring soon is a hot renewal for the voice bot</t>
  </si>
  <si>
    <t xml:space="preserve">lead evaluation: journeys for new business</t>
  </si>
  <si>
    <t xml:space="preserve">touchpoint planning follows the journey cadence and tier filters</t>
  </si>
  <si>
    <t xml:space="preserve">benefits: eligibility, legal filter and staff view</t>
  </si>
  <si>
    <t xml:space="preserve">rating: regulated TNDS tariff, pro-rata multi-year, add-on covers, commission caps</t>
  </si>
  <si>
    <t xml:space="preserve">contact policy: consent, DNC, quiet hours and frequency caps</t>
  </si>
  <si>
    <t xml:space="preserve">applyDeclaredExpiry updates evidence and closes DQ gaps</t>
  </si>
  <si>
    <t xml:space="preserve">memory store: CRUD, optimistic locking, filters, sorting, paging</t>
  </si>
  <si>
    <t xml:space="preserve">outbox claim and audit hash chain (tamper evident)</t>
  </si>
  <si>
    <t xml:space="preserve">postgres where-builder produces bind parameters only</t>
  </si>
  <si>
    <t xml:space="preserve">bot discloses automation and never asks for OTP/payment, and masks the plate</t>
  </si>
  <si>
    <t xml:space="preserve">happy path: plate first, confirm, buy → hot handoff</t>
  </si>
  <si>
    <t xml:space="preserve">buy intent at expiry confirmation hands off immediately</t>
  </si>
  <si>
    <t xml:space="preserve">wrong plate ends the call to protect privacy</t>
  </si>
  <si>
    <t xml:space="preserve">unclear plate retries then gives up</t>
  </si>
  <si>
    <t xml:space="preserve">trust concern is answered and the call continues to the offer</t>
  </si>
  <si>
    <t xml:space="preserve">price question gets a truthful regulated-price answer, then link</t>
  </si>
  <si>
    <t xml:space="preserve">benefits, price in offer, clarification fallback, refusal</t>
  </si>
  <si>
    <t xml:space="preserve">already renewed captures competitor info (data repair)</t>
  </si>
  <si>
    <t xml:space="preserve">opt-out, wrong person and callback are honoured at any point</t>
  </si>
  <si>
    <t xml:space="preserve">unknown and lapsed expiry use the right script lines</t>
  </si>
  <si>
    <t xml:space="preserve">How to read this workbook</t>
  </si>
  <si>
    <t xml:space="preserve">The automated suite that hosts the case ran in this execution with zero failures (see "Automated Run" for each individual test). The QA lead confirms per-case assertion coverage at each release.</t>
  </si>
  <si>
    <t xml:space="preserve">The hosting automated suite reported at least one failure in this run.</t>
  </si>
  <si>
    <t xml:space="preserve">The expected result depends on a known issue (KI-xx in the test strategy register) that is still open.</t>
  </si>
  <si>
    <t xml:space="preserve">SIT, UAT, NFT/DR or manual case that needs production integrations, business users or a scheduled test window. Update Status, Actual Result, Executed On/By when executed.</t>
  </si>
  <si>
    <t xml:space="preserve">Data, user role and system state required before the steps. Demo users are listed in the separate access workbook (credentials are not stored here).</t>
  </si>
  <si>
    <t xml:space="preserve">Functional Test Cases</t>
  </si>
  <si>
    <t xml:space="preserve">Business scenarios from the user stories (docs/business/04): Given = pre-conditions, When = steps, Then = expected result. Every scenario is executed by test/functional/*.test.js against the real API; 3 scenarios are UI/physical checks or roadmap items and stay Not Run until UAT.</t>
  </si>
  <si>
    <t xml:space="preserve">Source</t>
  </si>
  <si>
    <t xml:space="preserve">Cases come from docs/quality/test-case-catalogue (164 cases, TC-001 – TC-164); automated results from test/unit, test/integration, test/api, test/security, test/pg and test/perf.</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</si>
</sst>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4"/>
      <color rgb="FF213368"/>
      <name val="Arial"/>
      <family val="0"/>
      <charset val="1"/>
    </font>
    <font>
      <i val="true"/>
      <sz val="9"/>
      <name val="Arial"/>
      <family val="0"/>
      <charset val="1"/>
    </font>
    <font>
      <b val="true"/>
      <sz val="10"/>
      <color rgb="FFFFFFFF"/>
      <name val="Arial"/>
      <family val="0"/>
      <charset val="1"/>
    </font>
    <font>
      <sz val="9"/>
      <name val="Arial"/>
      <family val="0"/>
      <charset val="1"/>
    </font>
    <font>
      <b val="true"/>
      <sz val="10"/>
      <name val="Arial"/>
      <family val="0"/>
      <charset val="1"/>
    </font>
  </fonts>
  <fills count="3">
    <fill>
      <patternFill patternType="none"/>
    </fill>
    <fill>
      <patternFill patternType="gray125"/>
    </fill>
    <fill>
      <patternFill patternType="solid">
        <fgColor rgb="FF213368"/>
        <bgColor rgb="FF333399"/>
      </patternFill>
    </fill>
  </fills>
  <borders count="2">
    <border diagonalUp="false" diagonalDown="false">
      <left/>
      <right/>
      <top/>
      <bottom/>
      <diagonal/>
    </border>
    <border diagonalUp="false" diagonalDown="false">
      <left style="thin">
        <color rgb="FFC9D1E0"/>
      </left>
      <right style="thin">
        <color rgb="FFC9D1E0"/>
      </right>
      <top style="thin">
        <color rgb="FFC9D1E0"/>
      </top>
      <bottom style="thin">
        <color rgb="FFC9D1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13368"/>
          <bgColor rgb="FF000000"/>
        </patternFill>
      </fill>
    </dxf>
    <dxf>
      <fill>
        <patternFill patternType="solid">
          <bgColor rgb="FF000000"/>
        </patternFill>
      </fill>
    </dxf>
    <dxf>
      <fill>
        <patternFill patternType="solid">
          <fgColor rgb="FFFFFFFF"/>
          <bgColor rgb="FF000000"/>
        </patternFill>
      </fill>
    </dxf>
    <dxf>
      <fill>
        <patternFill patternType="solid">
          <fgColor rgb="FFD8F0E3"/>
          <bgColor rgb="FF000000"/>
        </patternFill>
      </fill>
    </dxf>
    <dxf>
      <fill>
        <patternFill patternType="solid">
          <fgColor rgb="FFE6EAF2"/>
          <bgColor rgb="FF000000"/>
        </patternFill>
      </fill>
    </dxf>
    <dxf>
      <fill>
        <patternFill>
          <bgColor rgb="FFD8F0E3"/>
        </patternFill>
      </fill>
    </dxf>
    <dxf>
      <fill>
        <patternFill>
          <bgColor rgb="FFFBD9D7"/>
        </patternFill>
      </fill>
    </dxf>
    <dxf>
      <fill>
        <patternFill>
          <bgColor rgb="FFFFEBC7"/>
        </patternFill>
      </fill>
    </dxf>
    <dxf>
      <fill>
        <patternFill>
          <bgColor rgb="FFE6EAF2"/>
        </patternFill>
      </fill>
    </dxf>
    <dxf>
      <fill>
        <patternFill patternType="solid">
          <fgColor rgb="FFFFEBC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EBC7"/>
      <rgbColor rgb="FFE6EAF2"/>
      <rgbColor rgb="FF660066"/>
      <rgbColor rgb="FFFF8080"/>
      <rgbColor rgb="FF0066CC"/>
      <rgbColor rgb="FFC9D1E0"/>
      <rgbColor rgb="FF000080"/>
      <rgbColor rgb="FFFF00FF"/>
      <rgbColor rgb="FFFFFF00"/>
      <rgbColor rgb="FF00FFFF"/>
      <rgbColor rgb="FF800080"/>
      <rgbColor rgb="FF800000"/>
      <rgbColor rgb="FF008080"/>
      <rgbColor rgb="FF0000FF"/>
      <rgbColor rgb="FF00CCFF"/>
      <rgbColor rgb="FFCCFFFF"/>
      <rgbColor rgb="FFD8F0E3"/>
      <rgbColor rgb="FFFFFF99"/>
      <rgbColor rgb="FF99CCFF"/>
      <rgbColor rgb="FFFF99CC"/>
      <rgbColor rgb="FFCC99FF"/>
      <rgbColor rgb="FFFBD9D7"/>
      <rgbColor rgb="FF3366FF"/>
      <rgbColor rgb="FF33CCCC"/>
      <rgbColor rgb="FF99CC00"/>
      <rgbColor rgb="FFFFCC00"/>
      <rgbColor rgb="FFFF9900"/>
      <rgbColor rgb="FFFF6600"/>
      <rgbColor rgb="FF666699"/>
      <rgbColor rgb="FF969696"/>
      <rgbColor rgb="FF213368"/>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6" min="3"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4" t="n">
        <f aca="false">COUNTIF('Test Cases'!$H$5:$H$168,"Pass")</f>
        <v>140</v>
      </c>
      <c r="C5" s="5" t="n">
        <f aca="false">IF($B$9=0,0,B5/$B$9)</f>
        <v>0.853658536585366</v>
      </c>
    </row>
    <row r="6" customFormat="false" ht="15" hidden="false" customHeight="false" outlineLevel="0" collapsed="false">
      <c r="A6" s="4" t="s">
        <v>6</v>
      </c>
      <c r="B6" s="4" t="n">
        <f aca="false">COUNTIF('Test Cases'!$H$5:$H$168,"Fail")</f>
        <v>0</v>
      </c>
      <c r="C6" s="5" t="n">
        <f aca="false">IF($B$9=0,0,B6/$B$9)</f>
        <v>0</v>
      </c>
    </row>
    <row r="7" customFormat="false" ht="15" hidden="false" customHeight="false" outlineLevel="0" collapsed="false">
      <c r="A7" s="4" t="s">
        <v>7</v>
      </c>
      <c r="B7" s="4" t="n">
        <f aca="false">COUNTIF('Test Cases'!$H$5:$H$168,"Blocked")</f>
        <v>4</v>
      </c>
      <c r="C7" s="5" t="n">
        <f aca="false">IF($B$9=0,0,B7/$B$9)</f>
        <v>0.024390243902439</v>
      </c>
    </row>
    <row r="8" customFormat="false" ht="15" hidden="false" customHeight="false" outlineLevel="0" collapsed="false">
      <c r="A8" s="4" t="s">
        <v>8</v>
      </c>
      <c r="B8" s="4" t="n">
        <f aca="false">COUNTIF('Test Cases'!$H$5:$H$168,"Not Run")</f>
        <v>20</v>
      </c>
      <c r="C8" s="5" t="n">
        <f aca="false">IF($B$9=0,0,B8/$B$9)</f>
        <v>0.121951219512195</v>
      </c>
    </row>
    <row r="9" customFormat="false" ht="15" hidden="false" customHeight="false" outlineLevel="0" collapsed="false">
      <c r="A9" s="6" t="s">
        <v>9</v>
      </c>
      <c r="B9" s="6" t="n">
        <f aca="false">SUM(B5:B8)</f>
        <v>164</v>
      </c>
      <c r="C9" s="7" t="n">
        <f aca="false">SUM(C5:C8)</f>
        <v>1</v>
      </c>
    </row>
    <row r="10" customFormat="false" ht="15" hidden="false" customHeight="false" outlineLevel="0" collapsed="false">
      <c r="A10" s="6" t="s">
        <v>10</v>
      </c>
      <c r="B10" s="7" t="n">
        <f aca="false">IF((B5+B6)=0,0,B5/(B5+B6))</f>
        <v>1</v>
      </c>
    </row>
    <row r="12" customFormat="false" ht="15" hidden="false" customHeight="false" outlineLevel="0" collapsed="false">
      <c r="A12" s="3" t="s">
        <v>11</v>
      </c>
      <c r="B12" s="3" t="s">
        <v>12</v>
      </c>
      <c r="C12" s="3" t="s">
        <v>13</v>
      </c>
      <c r="D12" s="3" t="s">
        <v>14</v>
      </c>
      <c r="E12" s="3" t="s">
        <v>15</v>
      </c>
    </row>
    <row r="13" customFormat="false" ht="15" hidden="false" customHeight="false" outlineLevel="0" collapsed="false">
      <c r="A13" s="4" t="s">
        <v>16</v>
      </c>
      <c r="B13" s="4" t="n">
        <f aca="false">COUNTIF('Automated Run'!$B$4:$B$221,"Unit")</f>
        <v>44</v>
      </c>
      <c r="C13" s="4" t="n">
        <f aca="false">COUNTIFS('Automated Run'!$B$4:$B$221,"Unit",'Automated Run'!$E$4:$E$221,"Pass")</f>
        <v>44</v>
      </c>
      <c r="D13" s="4" t="n">
        <f aca="false">COUNTIFS('Automated Run'!$B$4:$B$221,"Unit",'Automated Run'!$E$4:$E$221,"Fail")</f>
        <v>0</v>
      </c>
      <c r="E13" s="5" t="n">
        <f aca="false">IF(B13=0,0,C13/B13)</f>
        <v>1</v>
      </c>
    </row>
    <row r="14" customFormat="false" ht="15" hidden="false" customHeight="false" outlineLevel="0" collapsed="false">
      <c r="A14" s="4" t="s">
        <v>17</v>
      </c>
      <c r="B14" s="4" t="n">
        <f aca="false">COUNTIF('Automated Run'!$B$4:$B$221,"Integration")</f>
        <v>21</v>
      </c>
      <c r="C14" s="4" t="n">
        <f aca="false">COUNTIFS('Automated Run'!$B$4:$B$221,"Integration",'Automated Run'!$E$4:$E$221,"Pass")</f>
        <v>21</v>
      </c>
      <c r="D14" s="4" t="n">
        <f aca="false">COUNTIFS('Automated Run'!$B$4:$B$221,"Integration",'Automated Run'!$E$4:$E$221,"Fail")</f>
        <v>0</v>
      </c>
      <c r="E14" s="5" t="n">
        <f aca="false">IF(B14=0,0,C14/B14)</f>
        <v>1</v>
      </c>
    </row>
    <row r="15" customFormat="false" ht="15" hidden="false" customHeight="false" outlineLevel="0" collapsed="false">
      <c r="A15" s="4" t="s">
        <v>18</v>
      </c>
      <c r="B15" s="4" t="n">
        <f aca="false">COUNTIF('Automated Run'!$B$4:$B$221,"API")</f>
        <v>9</v>
      </c>
      <c r="C15" s="4" t="n">
        <f aca="false">COUNTIFS('Automated Run'!$B$4:$B$221,"API",'Automated Run'!$E$4:$E$221,"Pass")</f>
        <v>9</v>
      </c>
      <c r="D15" s="4" t="n">
        <f aca="false">COUNTIFS('Automated Run'!$B$4:$B$221,"API",'Automated Run'!$E$4:$E$221,"Fail")</f>
        <v>0</v>
      </c>
      <c r="E15" s="5" t="n">
        <f aca="false">IF(B15=0,0,C15/B15)</f>
        <v>1</v>
      </c>
    </row>
    <row r="16" customFormat="false" ht="15" hidden="false" customHeight="false" outlineLevel="0" collapsed="false">
      <c r="A16" s="4" t="s">
        <v>19</v>
      </c>
      <c r="B16" s="4" t="n">
        <f aca="false">COUNTIF('Automated Run'!$B$4:$B$221,"Security")</f>
        <v>12</v>
      </c>
      <c r="C16" s="4" t="n">
        <f aca="false">COUNTIFS('Automated Run'!$B$4:$B$221,"Security",'Automated Run'!$E$4:$E$221,"Pass")</f>
        <v>12</v>
      </c>
      <c r="D16" s="4" t="n">
        <f aca="false">COUNTIFS('Automated Run'!$B$4:$B$221,"Security",'Automated Run'!$E$4:$E$221,"Fail")</f>
        <v>0</v>
      </c>
      <c r="E16" s="5" t="n">
        <f aca="false">IF(B16=0,0,C16/B16)</f>
        <v>1</v>
      </c>
    </row>
    <row r="17" customFormat="false" ht="15" hidden="false" customHeight="false" outlineLevel="0" collapsed="false">
      <c r="A17" s="4" t="s">
        <v>20</v>
      </c>
      <c r="B17" s="4" t="n">
        <f aca="false">COUNTIF('Automated Run'!$B$4:$B$221,"PostgreSQL")</f>
        <v>8</v>
      </c>
      <c r="C17" s="4" t="n">
        <f aca="false">COUNTIFS('Automated Run'!$B$4:$B$221,"PostgreSQL",'Automated Run'!$E$4:$E$221,"Pass")</f>
        <v>8</v>
      </c>
      <c r="D17" s="4" t="n">
        <f aca="false">COUNTIFS('Automated Run'!$B$4:$B$221,"PostgreSQL",'Automated Run'!$E$4:$E$221,"Fail")</f>
        <v>0</v>
      </c>
      <c r="E17" s="5" t="n">
        <f aca="false">IF(B17=0,0,C17/B17)</f>
        <v>1</v>
      </c>
    </row>
    <row r="18" customFormat="false" ht="15" hidden="false" customHeight="false" outlineLevel="0" collapsed="false">
      <c r="A18" s="4" t="s">
        <v>21</v>
      </c>
      <c r="B18" s="4" t="n">
        <f aca="false">COUNTIF('Automated Run'!$B$4:$B$221,"Functional")</f>
        <v>124</v>
      </c>
      <c r="C18" s="4" t="n">
        <f aca="false">COUNTIFS('Automated Run'!$B$4:$B$221,"Functional",'Automated Run'!$E$4:$E$221,"Pass")</f>
        <v>121</v>
      </c>
      <c r="D18" s="4" t="n">
        <f aca="false">COUNTIFS('Automated Run'!$B$4:$B$221,"Functional",'Automated Run'!$E$4:$E$221,"Fail")</f>
        <v>0</v>
      </c>
      <c r="E18" s="5" t="n">
        <f aca="false">IF(B18=0,0,C18/B18)</f>
        <v>0.975806451612903</v>
      </c>
    </row>
    <row r="19" customFormat="false" ht="15" hidden="false" customHeight="false" outlineLevel="0" collapsed="false">
      <c r="A19" s="6" t="s">
        <v>22</v>
      </c>
      <c r="B19" s="6" t="n">
        <f aca="false">SUM(B13:B18)</f>
        <v>218</v>
      </c>
      <c r="C19" s="6" t="n">
        <f aca="false">SUM(C13:C18)</f>
        <v>215</v>
      </c>
      <c r="D19" s="6" t="n">
        <f aca="false">SUM(D13:D18)</f>
        <v>0</v>
      </c>
      <c r="E19" s="7" t="n">
        <f aca="false">IF(B19=0,0,C19/B19)</f>
        <v>0.986238532110092</v>
      </c>
    </row>
    <row r="20" customFormat="false" ht="15" hidden="false" customHeight="false" outlineLevel="0" collapsed="false">
      <c r="A20" s="3" t="s">
        <v>23</v>
      </c>
      <c r="B20" s="3" t="s">
        <v>24</v>
      </c>
      <c r="C20" s="3" t="s">
        <v>25</v>
      </c>
      <c r="D20" s="3" t="s">
        <v>26</v>
      </c>
    </row>
    <row r="21" customFormat="false" ht="15" hidden="false" customHeight="false" outlineLevel="0" collapsed="false">
      <c r="A21" s="4" t="s">
        <v>27</v>
      </c>
      <c r="B21" s="4" t="s">
        <v>28</v>
      </c>
      <c r="C21" s="4" t="s">
        <v>29</v>
      </c>
      <c r="D21" s="4" t="s">
        <v>5</v>
      </c>
    </row>
    <row r="22" customFormat="false" ht="15" hidden="false" customHeight="false" outlineLevel="0" collapsed="false">
      <c r="A22" s="4" t="s">
        <v>30</v>
      </c>
      <c r="B22" s="4" t="s">
        <v>31</v>
      </c>
      <c r="C22" s="4" t="s">
        <v>32</v>
      </c>
      <c r="D22" s="4" t="s">
        <v>5</v>
      </c>
    </row>
    <row r="23" customFormat="false" ht="15" hidden="false" customHeight="false" outlineLevel="0" collapsed="false">
      <c r="A23" s="4" t="s">
        <v>33</v>
      </c>
      <c r="B23" s="4" t="s">
        <v>34</v>
      </c>
      <c r="C23" s="4" t="s">
        <v>29</v>
      </c>
      <c r="D23" s="4" t="s">
        <v>5</v>
      </c>
    </row>
    <row r="24" customFormat="false" ht="15" hidden="false" customHeight="false" outlineLevel="0" collapsed="false">
      <c r="A24" s="4" t="s">
        <v>35</v>
      </c>
      <c r="B24" s="4" t="s">
        <v>36</v>
      </c>
      <c r="C24" s="4" t="s">
        <v>36</v>
      </c>
      <c r="D24" s="4" t="s">
        <v>5</v>
      </c>
    </row>
    <row r="25" customFormat="false" ht="15" hidden="false" customHeight="false" outlineLevel="0" collapsed="false">
      <c r="A25" s="4" t="s">
        <v>37</v>
      </c>
      <c r="B25" s="4" t="s">
        <v>38</v>
      </c>
      <c r="C25" s="4" t="s">
        <v>39</v>
      </c>
      <c r="D25" s="4" t="s">
        <v>5</v>
      </c>
    </row>
    <row r="26" customFormat="false" ht="15" hidden="false" customHeight="false" outlineLevel="0" collapsed="false">
      <c r="A26" s="4" t="s">
        <v>40</v>
      </c>
      <c r="B26" s="4" t="s">
        <v>41</v>
      </c>
      <c r="C26" s="4" t="s">
        <v>42</v>
      </c>
      <c r="D26" s="4" t="s">
        <v>43</v>
      </c>
    </row>
    <row r="27" customFormat="false" ht="15" hidden="false" customHeight="false" outlineLevel="0" collapsed="false">
      <c r="A27" s="4" t="s">
        <v>44</v>
      </c>
      <c r="B27" s="4" t="s">
        <v>45</v>
      </c>
      <c r="C27" s="4" t="s">
        <v>46</v>
      </c>
      <c r="D27" s="4" t="s">
        <v>5</v>
      </c>
    </row>
    <row r="29" customFormat="false" ht="15" hidden="false" customHeight="false" outlineLevel="0" collapsed="false">
      <c r="A29" s="3" t="s">
        <v>47</v>
      </c>
      <c r="B29" s="3" t="s">
        <v>48</v>
      </c>
      <c r="C29" s="3" t="s">
        <v>5</v>
      </c>
      <c r="D29" s="3" t="s">
        <v>6</v>
      </c>
      <c r="E29" s="3" t="s">
        <v>7</v>
      </c>
      <c r="F29" s="3" t="s">
        <v>8</v>
      </c>
    </row>
    <row r="30" customFormat="false" ht="15" hidden="false" customHeight="false" outlineLevel="0" collapsed="false">
      <c r="A30" s="4" t="s">
        <v>49</v>
      </c>
      <c r="B30" s="4" t="n">
        <f aca="false">COUNTIF('Test Cases'!$B$5:$B$168,A30)</f>
        <v>20</v>
      </c>
      <c r="C30" s="4" t="n">
        <f aca="false">COUNTIFS('Test Cases'!$B$5:$B$168,$A30,'Test Cases'!$H$5:$H$168,"Pass")</f>
        <v>19</v>
      </c>
      <c r="D30" s="4" t="n">
        <f aca="false">COUNTIFS('Test Cases'!$B$5:$B$168,$A30,'Test Cases'!$H$5:$H$168,"Fail")</f>
        <v>0</v>
      </c>
      <c r="E30" s="4" t="n">
        <f aca="false">COUNTIFS('Test Cases'!$B$5:$B$168,$A30,'Test Cases'!$H$5:$H$168,"Blocked")</f>
        <v>1</v>
      </c>
      <c r="F30" s="4" t="n">
        <f aca="false">COUNTIFS('Test Cases'!$B$5:$B$168,$A30,'Test Cases'!$H$5:$H$168,"Not Run")</f>
        <v>0</v>
      </c>
    </row>
    <row r="31" customFormat="false" ht="15" hidden="false" customHeight="false" outlineLevel="0" collapsed="false">
      <c r="A31" s="4" t="s">
        <v>50</v>
      </c>
      <c r="B31" s="4" t="n">
        <f aca="false">COUNTIF('Test Cases'!$B$5:$B$168,A31)</f>
        <v>10</v>
      </c>
      <c r="C31" s="4" t="n">
        <f aca="false">COUNTIFS('Test Cases'!$B$5:$B$168,$A31,'Test Cases'!$H$5:$H$168,"Pass")</f>
        <v>9</v>
      </c>
      <c r="D31" s="4" t="n">
        <f aca="false">COUNTIFS('Test Cases'!$B$5:$B$168,$A31,'Test Cases'!$H$5:$H$168,"Fail")</f>
        <v>0</v>
      </c>
      <c r="E31" s="4" t="n">
        <f aca="false">COUNTIFS('Test Cases'!$B$5:$B$168,$A31,'Test Cases'!$H$5:$H$168,"Blocked")</f>
        <v>1</v>
      </c>
      <c r="F31" s="4" t="n">
        <f aca="false">COUNTIFS('Test Cases'!$B$5:$B$168,$A31,'Test Cases'!$H$5:$H$168,"Not Run")</f>
        <v>0</v>
      </c>
    </row>
    <row r="32" customFormat="false" ht="15" hidden="false" customHeight="false" outlineLevel="0" collapsed="false">
      <c r="A32" s="4" t="s">
        <v>51</v>
      </c>
      <c r="B32" s="4" t="n">
        <f aca="false">COUNTIF('Test Cases'!$B$5:$B$168,A32)</f>
        <v>10</v>
      </c>
      <c r="C32" s="4" t="n">
        <f aca="false">COUNTIFS('Test Cases'!$B$5:$B$168,$A32,'Test Cases'!$H$5:$H$168,"Pass")</f>
        <v>10</v>
      </c>
      <c r="D32" s="4" t="n">
        <f aca="false">COUNTIFS('Test Cases'!$B$5:$B$168,$A32,'Test Cases'!$H$5:$H$168,"Fail")</f>
        <v>0</v>
      </c>
      <c r="E32" s="4" t="n">
        <f aca="false">COUNTIFS('Test Cases'!$B$5:$B$168,$A32,'Test Cases'!$H$5:$H$168,"Blocked")</f>
        <v>0</v>
      </c>
      <c r="F32" s="4" t="n">
        <f aca="false">COUNTIFS('Test Cases'!$B$5:$B$168,$A32,'Test Cases'!$H$5:$H$168,"Not Run")</f>
        <v>0</v>
      </c>
    </row>
    <row r="33" customFormat="false" ht="15" hidden="false" customHeight="false" outlineLevel="0" collapsed="false">
      <c r="A33" s="4" t="s">
        <v>52</v>
      </c>
      <c r="B33" s="4" t="n">
        <f aca="false">COUNTIF('Test Cases'!$B$5:$B$168,A33)</f>
        <v>9</v>
      </c>
      <c r="C33" s="4" t="n">
        <f aca="false">COUNTIFS('Test Cases'!$B$5:$B$168,$A33,'Test Cases'!$H$5:$H$168,"Pass")</f>
        <v>9</v>
      </c>
      <c r="D33" s="4" t="n">
        <f aca="false">COUNTIFS('Test Cases'!$B$5:$B$168,$A33,'Test Cases'!$H$5:$H$168,"Fail")</f>
        <v>0</v>
      </c>
      <c r="E33" s="4" t="n">
        <f aca="false">COUNTIFS('Test Cases'!$B$5:$B$168,$A33,'Test Cases'!$H$5:$H$168,"Blocked")</f>
        <v>0</v>
      </c>
      <c r="F33" s="4" t="n">
        <f aca="false">COUNTIFS('Test Cases'!$B$5:$B$168,$A33,'Test Cases'!$H$5:$H$168,"Not Run")</f>
        <v>0</v>
      </c>
    </row>
    <row r="34" customFormat="false" ht="15" hidden="false" customHeight="false" outlineLevel="0" collapsed="false">
      <c r="A34" s="4" t="s">
        <v>53</v>
      </c>
      <c r="B34" s="4" t="n">
        <f aca="false">COUNTIF('Test Cases'!$B$5:$B$168,A34)</f>
        <v>14</v>
      </c>
      <c r="C34" s="4" t="n">
        <f aca="false">COUNTIFS('Test Cases'!$B$5:$B$168,$A34,'Test Cases'!$H$5:$H$168,"Pass")</f>
        <v>14</v>
      </c>
      <c r="D34" s="4" t="n">
        <f aca="false">COUNTIFS('Test Cases'!$B$5:$B$168,$A34,'Test Cases'!$H$5:$H$168,"Fail")</f>
        <v>0</v>
      </c>
      <c r="E34" s="4" t="n">
        <f aca="false">COUNTIFS('Test Cases'!$B$5:$B$168,$A34,'Test Cases'!$H$5:$H$168,"Blocked")</f>
        <v>0</v>
      </c>
      <c r="F34" s="4" t="n">
        <f aca="false">COUNTIFS('Test Cases'!$B$5:$B$168,$A34,'Test Cases'!$H$5:$H$168,"Not Run")</f>
        <v>0</v>
      </c>
    </row>
    <row r="35" customFormat="false" ht="15" hidden="false" customHeight="false" outlineLevel="0" collapsed="false">
      <c r="A35" s="4" t="s">
        <v>54</v>
      </c>
      <c r="B35" s="4" t="n">
        <f aca="false">COUNTIF('Test Cases'!$B$5:$B$168,A35)</f>
        <v>7</v>
      </c>
      <c r="C35" s="4" t="n">
        <f aca="false">COUNTIFS('Test Cases'!$B$5:$B$168,$A35,'Test Cases'!$H$5:$H$168,"Pass")</f>
        <v>7</v>
      </c>
      <c r="D35" s="4" t="n">
        <f aca="false">COUNTIFS('Test Cases'!$B$5:$B$168,$A35,'Test Cases'!$H$5:$H$168,"Fail")</f>
        <v>0</v>
      </c>
      <c r="E35" s="4" t="n">
        <f aca="false">COUNTIFS('Test Cases'!$B$5:$B$168,$A35,'Test Cases'!$H$5:$H$168,"Blocked")</f>
        <v>0</v>
      </c>
      <c r="F35" s="4" t="n">
        <f aca="false">COUNTIFS('Test Cases'!$B$5:$B$168,$A35,'Test Cases'!$H$5:$H$168,"Not Run")</f>
        <v>0</v>
      </c>
    </row>
    <row r="36" customFormat="false" ht="15" hidden="false" customHeight="false" outlineLevel="0" collapsed="false">
      <c r="A36" s="4" t="s">
        <v>55</v>
      </c>
      <c r="B36" s="4" t="n">
        <f aca="false">COUNTIF('Test Cases'!$B$5:$B$168,A36)</f>
        <v>10</v>
      </c>
      <c r="C36" s="4" t="n">
        <f aca="false">COUNTIFS('Test Cases'!$B$5:$B$168,$A36,'Test Cases'!$H$5:$H$168,"Pass")</f>
        <v>10</v>
      </c>
      <c r="D36" s="4" t="n">
        <f aca="false">COUNTIFS('Test Cases'!$B$5:$B$168,$A36,'Test Cases'!$H$5:$H$168,"Fail")</f>
        <v>0</v>
      </c>
      <c r="E36" s="4" t="n">
        <f aca="false">COUNTIFS('Test Cases'!$B$5:$B$168,$A36,'Test Cases'!$H$5:$H$168,"Blocked")</f>
        <v>0</v>
      </c>
      <c r="F36" s="4" t="n">
        <f aca="false">COUNTIFS('Test Cases'!$B$5:$B$168,$A36,'Test Cases'!$H$5:$H$168,"Not Run")</f>
        <v>0</v>
      </c>
    </row>
    <row r="37" customFormat="false" ht="15" hidden="false" customHeight="false" outlineLevel="0" collapsed="false">
      <c r="A37" s="4" t="s">
        <v>56</v>
      </c>
      <c r="B37" s="4" t="n">
        <f aca="false">COUNTIF('Test Cases'!$B$5:$B$168,A37)</f>
        <v>9</v>
      </c>
      <c r="C37" s="4" t="n">
        <f aca="false">COUNTIFS('Test Cases'!$B$5:$B$168,$A37,'Test Cases'!$H$5:$H$168,"Pass")</f>
        <v>9</v>
      </c>
      <c r="D37" s="4" t="n">
        <f aca="false">COUNTIFS('Test Cases'!$B$5:$B$168,$A37,'Test Cases'!$H$5:$H$168,"Fail")</f>
        <v>0</v>
      </c>
      <c r="E37" s="4" t="n">
        <f aca="false">COUNTIFS('Test Cases'!$B$5:$B$168,$A37,'Test Cases'!$H$5:$H$168,"Blocked")</f>
        <v>0</v>
      </c>
      <c r="F37" s="4" t="n">
        <f aca="false">COUNTIFS('Test Cases'!$B$5:$B$168,$A37,'Test Cases'!$H$5:$H$168,"Not Run")</f>
        <v>0</v>
      </c>
    </row>
    <row r="38" customFormat="false" ht="15" hidden="false" customHeight="false" outlineLevel="0" collapsed="false">
      <c r="A38" s="4" t="s">
        <v>57</v>
      </c>
      <c r="B38" s="4" t="n">
        <f aca="false">COUNTIF('Test Cases'!$B$5:$B$168,A38)</f>
        <v>10</v>
      </c>
      <c r="C38" s="4" t="n">
        <f aca="false">COUNTIFS('Test Cases'!$B$5:$B$168,$A38,'Test Cases'!$H$5:$H$168,"Pass")</f>
        <v>9</v>
      </c>
      <c r="D38" s="4" t="n">
        <f aca="false">COUNTIFS('Test Cases'!$B$5:$B$168,$A38,'Test Cases'!$H$5:$H$168,"Fail")</f>
        <v>0</v>
      </c>
      <c r="E38" s="4" t="n">
        <f aca="false">COUNTIFS('Test Cases'!$B$5:$B$168,$A38,'Test Cases'!$H$5:$H$168,"Blocked")</f>
        <v>0</v>
      </c>
      <c r="F38" s="4" t="n">
        <f aca="false">COUNTIFS('Test Cases'!$B$5:$B$168,$A38,'Test Cases'!$H$5:$H$168,"Not Run")</f>
        <v>1</v>
      </c>
    </row>
    <row r="39" customFormat="false" ht="15" hidden="false" customHeight="false" outlineLevel="0" collapsed="false">
      <c r="A39" s="4" t="s">
        <v>58</v>
      </c>
      <c r="B39" s="4" t="n">
        <f aca="false">COUNTIF('Test Cases'!$B$5:$B$168,A39)</f>
        <v>5</v>
      </c>
      <c r="C39" s="4" t="n">
        <f aca="false">COUNTIFS('Test Cases'!$B$5:$B$168,$A39,'Test Cases'!$H$5:$H$168,"Pass")</f>
        <v>5</v>
      </c>
      <c r="D39" s="4" t="n">
        <f aca="false">COUNTIFS('Test Cases'!$B$5:$B$168,$A39,'Test Cases'!$H$5:$H$168,"Fail")</f>
        <v>0</v>
      </c>
      <c r="E39" s="4" t="n">
        <f aca="false">COUNTIFS('Test Cases'!$B$5:$B$168,$A39,'Test Cases'!$H$5:$H$168,"Blocked")</f>
        <v>0</v>
      </c>
      <c r="F39" s="4" t="n">
        <f aca="false">COUNTIFS('Test Cases'!$B$5:$B$168,$A39,'Test Cases'!$H$5:$H$168,"Not Run")</f>
        <v>0</v>
      </c>
    </row>
    <row r="40" customFormat="false" ht="15" hidden="false" customHeight="false" outlineLevel="0" collapsed="false">
      <c r="A40" s="4" t="s">
        <v>59</v>
      </c>
      <c r="B40" s="4" t="n">
        <f aca="false">COUNTIF('Test Cases'!$B$5:$B$168,A40)</f>
        <v>7</v>
      </c>
      <c r="C40" s="4" t="n">
        <f aca="false">COUNTIFS('Test Cases'!$B$5:$B$168,$A40,'Test Cases'!$H$5:$H$168,"Pass")</f>
        <v>5</v>
      </c>
      <c r="D40" s="4" t="n">
        <f aca="false">COUNTIFS('Test Cases'!$B$5:$B$168,$A40,'Test Cases'!$H$5:$H$168,"Fail")</f>
        <v>0</v>
      </c>
      <c r="E40" s="4" t="n">
        <f aca="false">COUNTIFS('Test Cases'!$B$5:$B$168,$A40,'Test Cases'!$H$5:$H$168,"Blocked")</f>
        <v>0</v>
      </c>
      <c r="F40" s="4" t="n">
        <f aca="false">COUNTIFS('Test Cases'!$B$5:$B$168,$A40,'Test Cases'!$H$5:$H$168,"Not Run")</f>
        <v>2</v>
      </c>
    </row>
    <row r="41" customFormat="false" ht="15" hidden="false" customHeight="false" outlineLevel="0" collapsed="false">
      <c r="A41" s="4" t="s">
        <v>60</v>
      </c>
      <c r="B41" s="4" t="n">
        <f aca="false">COUNTIF('Test Cases'!$B$5:$B$168,A41)</f>
        <v>5</v>
      </c>
      <c r="C41" s="4" t="n">
        <f aca="false">COUNTIFS('Test Cases'!$B$5:$B$168,$A41,'Test Cases'!$H$5:$H$168,"Pass")</f>
        <v>2</v>
      </c>
      <c r="D41" s="4" t="n">
        <f aca="false">COUNTIFS('Test Cases'!$B$5:$B$168,$A41,'Test Cases'!$H$5:$H$168,"Fail")</f>
        <v>0</v>
      </c>
      <c r="E41" s="4" t="n">
        <f aca="false">COUNTIFS('Test Cases'!$B$5:$B$168,$A41,'Test Cases'!$H$5:$H$168,"Blocked")</f>
        <v>1</v>
      </c>
      <c r="F41" s="4" t="n">
        <f aca="false">COUNTIFS('Test Cases'!$B$5:$B$168,$A41,'Test Cases'!$H$5:$H$168,"Not Run")</f>
        <v>2</v>
      </c>
    </row>
    <row r="42" customFormat="false" ht="15" hidden="false" customHeight="false" outlineLevel="0" collapsed="false">
      <c r="A42" s="4" t="s">
        <v>61</v>
      </c>
      <c r="B42" s="4" t="n">
        <f aca="false">COUNTIF('Test Cases'!$B$5:$B$168,A42)</f>
        <v>19</v>
      </c>
      <c r="C42" s="4" t="n">
        <f aca="false">COUNTIFS('Test Cases'!$B$5:$B$168,$A42,'Test Cases'!$H$5:$H$168,"Pass")</f>
        <v>16</v>
      </c>
      <c r="D42" s="4" t="n">
        <f aca="false">COUNTIFS('Test Cases'!$B$5:$B$168,$A42,'Test Cases'!$H$5:$H$168,"Fail")</f>
        <v>0</v>
      </c>
      <c r="E42" s="4" t="n">
        <f aca="false">COUNTIFS('Test Cases'!$B$5:$B$168,$A42,'Test Cases'!$H$5:$H$168,"Blocked")</f>
        <v>0</v>
      </c>
      <c r="F42" s="4" t="n">
        <f aca="false">COUNTIFS('Test Cases'!$B$5:$B$168,$A42,'Test Cases'!$H$5:$H$168,"Not Run")</f>
        <v>3</v>
      </c>
    </row>
    <row r="43" customFormat="false" ht="15" hidden="false" customHeight="false" outlineLevel="0" collapsed="false">
      <c r="A43" s="4" t="s">
        <v>62</v>
      </c>
      <c r="B43" s="4" t="n">
        <f aca="false">COUNTIF('Test Cases'!$B$5:$B$168,A43)</f>
        <v>8</v>
      </c>
      <c r="C43" s="4" t="n">
        <f aca="false">COUNTIFS('Test Cases'!$B$5:$B$168,$A43,'Test Cases'!$H$5:$H$168,"Pass")</f>
        <v>5</v>
      </c>
      <c r="D43" s="4" t="n">
        <f aca="false">COUNTIFS('Test Cases'!$B$5:$B$168,$A43,'Test Cases'!$H$5:$H$168,"Fail")</f>
        <v>0</v>
      </c>
      <c r="E43" s="4" t="n">
        <f aca="false">COUNTIFS('Test Cases'!$B$5:$B$168,$A43,'Test Cases'!$H$5:$H$168,"Blocked")</f>
        <v>0</v>
      </c>
      <c r="F43" s="4" t="n">
        <f aca="false">COUNTIFS('Test Cases'!$B$5:$B$168,$A43,'Test Cases'!$H$5:$H$168,"Not Run")</f>
        <v>3</v>
      </c>
    </row>
    <row r="44" customFormat="false" ht="15" hidden="false" customHeight="false" outlineLevel="0" collapsed="false">
      <c r="A44" s="4" t="s">
        <v>63</v>
      </c>
      <c r="B44" s="4" t="n">
        <f aca="false">COUNTIF('Test Cases'!$B$5:$B$168,A44)</f>
        <v>6</v>
      </c>
      <c r="C44" s="4" t="n">
        <f aca="false">COUNTIFS('Test Cases'!$B$5:$B$168,$A44,'Test Cases'!$H$5:$H$168,"Pass")</f>
        <v>2</v>
      </c>
      <c r="D44" s="4" t="n">
        <f aca="false">COUNTIFS('Test Cases'!$B$5:$B$168,$A44,'Test Cases'!$H$5:$H$168,"Fail")</f>
        <v>0</v>
      </c>
      <c r="E44" s="4" t="n">
        <f aca="false">COUNTIFS('Test Cases'!$B$5:$B$168,$A44,'Test Cases'!$H$5:$H$168,"Blocked")</f>
        <v>0</v>
      </c>
      <c r="F44" s="4" t="n">
        <f aca="false">COUNTIFS('Test Cases'!$B$5:$B$168,$A44,'Test Cases'!$H$5:$H$168,"Not Run")</f>
        <v>4</v>
      </c>
    </row>
    <row r="45" customFormat="false" ht="15" hidden="false" customHeight="false" outlineLevel="0" collapsed="false">
      <c r="A45" s="4" t="s">
        <v>64</v>
      </c>
      <c r="B45" s="4" t="n">
        <f aca="false">COUNTIF('Test Cases'!$B$5:$B$168,A45)</f>
        <v>6</v>
      </c>
      <c r="C45" s="4" t="n">
        <f aca="false">COUNTIFS('Test Cases'!$B$5:$B$168,$A45,'Test Cases'!$H$5:$H$168,"Pass")</f>
        <v>0</v>
      </c>
      <c r="D45" s="4" t="n">
        <f aca="false">COUNTIFS('Test Cases'!$B$5:$B$168,$A45,'Test Cases'!$H$5:$H$168,"Fail")</f>
        <v>0</v>
      </c>
      <c r="E45" s="4" t="n">
        <f aca="false">COUNTIFS('Test Cases'!$B$5:$B$168,$A45,'Test Cases'!$H$5:$H$168,"Blocked")</f>
        <v>1</v>
      </c>
      <c r="F45" s="4" t="n">
        <f aca="false">COUNTIFS('Test Cases'!$B$5:$B$168,$A45,'Test Cases'!$H$5:$H$168,"Not Run")</f>
        <v>5</v>
      </c>
    </row>
    <row r="46" customFormat="false" ht="15" hidden="false" customHeight="false" outlineLevel="0" collapsed="false">
      <c r="A46" s="4" t="s">
        <v>65</v>
      </c>
      <c r="B46" s="4" t="n">
        <f aca="false">COUNTIF('Test Cases'!$B$5:$B$168,A46)</f>
        <v>9</v>
      </c>
      <c r="C46" s="4" t="n">
        <f aca="false">COUNTIFS('Test Cases'!$B$5:$B$168,$A46,'Test Cases'!$H$5:$H$168,"Pass")</f>
        <v>9</v>
      </c>
      <c r="D46" s="4" t="n">
        <f aca="false">COUNTIFS('Test Cases'!$B$5:$B$168,$A46,'Test Cases'!$H$5:$H$168,"Fail")</f>
        <v>0</v>
      </c>
      <c r="E46" s="4" t="n">
        <f aca="false">COUNTIFS('Test Cases'!$B$5:$B$168,$A46,'Test Cases'!$H$5:$H$168,"Blocked")</f>
        <v>0</v>
      </c>
      <c r="F46" s="4" t="n">
        <f aca="false">COUNTIFS('Test Cases'!$B$5:$B$168,$A46,'Test Cases'!$H$5:$H$168,"Not Run")</f>
        <v>0</v>
      </c>
    </row>
    <row r="47" customFormat="false" ht="15" hidden="false" customHeight="false" outlineLevel="0" collapsed="false">
      <c r="A47" s="6" t="s">
        <v>22</v>
      </c>
      <c r="B47" s="6" t="n">
        <f aca="false">SUM(B30:B46)</f>
        <v>164</v>
      </c>
      <c r="C47" s="6" t="n">
        <f aca="false">SUM(C30:C46)</f>
        <v>140</v>
      </c>
      <c r="D47" s="6" t="n">
        <f aca="false">SUM(D30:D46)</f>
        <v>0</v>
      </c>
      <c r="E47" s="6" t="n">
        <f aca="false">SUM(E30:E46)</f>
        <v>4</v>
      </c>
      <c r="F47" s="6" t="n">
        <f aca="false">SUM(F30:F46)</f>
        <v>20</v>
      </c>
    </row>
    <row r="49" customFormat="false" ht="23.85" hidden="false" customHeight="false" outlineLevel="0" collapsed="false">
      <c r="A49" s="3" t="s">
        <v>66</v>
      </c>
      <c r="B49" s="3" t="s">
        <v>48</v>
      </c>
      <c r="C49" s="3" t="s">
        <v>5</v>
      </c>
      <c r="D49" s="3" t="s">
        <v>67</v>
      </c>
    </row>
    <row r="50" customFormat="false" ht="15" hidden="false" customHeight="false" outlineLevel="0" collapsed="false">
      <c r="A50" s="4" t="s">
        <v>68</v>
      </c>
      <c r="B50" s="4" t="n">
        <f aca="false">COUNTIF('Test Cases'!$J$5:$J$168,"P1")</f>
        <v>117</v>
      </c>
      <c r="C50" s="4" t="n">
        <f aca="false">COUNTIFS('Test Cases'!$J$5:$J$168,"P1",'Test Cases'!$H$5:$H$168,"Pass")</f>
        <v>102</v>
      </c>
      <c r="D50" s="4" t="n">
        <f aca="false">COUNTIFS('Test Cases'!$J$5:$J$168,"P1",'Test Cases'!$H$5:$H$168,"Not Run")+COUNTIFS('Test Cases'!$J$5:$J$168,"P1",'Test Cases'!$H$5:$H$168,"Blocked")</f>
        <v>15</v>
      </c>
    </row>
    <row r="51" customFormat="false" ht="15" hidden="false" customHeight="false" outlineLevel="0" collapsed="false">
      <c r="A51" s="4" t="s">
        <v>69</v>
      </c>
      <c r="B51" s="4" t="n">
        <f aca="false">COUNTIF('Test Cases'!$J$5:$J$168,"P2")</f>
        <v>40</v>
      </c>
      <c r="C51" s="4" t="n">
        <f aca="false">COUNTIFS('Test Cases'!$J$5:$J$168,"P2",'Test Cases'!$H$5:$H$168,"Pass")</f>
        <v>31</v>
      </c>
      <c r="D51" s="4" t="n">
        <f aca="false">COUNTIFS('Test Cases'!$J$5:$J$168,"P2",'Test Cases'!$H$5:$H$168,"Not Run")+COUNTIFS('Test Cases'!$J$5:$J$168,"P2",'Test Cases'!$H$5:$H$168,"Blocked")</f>
        <v>9</v>
      </c>
    </row>
    <row r="52" customFormat="false" ht="15" hidden="false" customHeight="false" outlineLevel="0" collapsed="false">
      <c r="A52" s="4" t="s">
        <v>70</v>
      </c>
      <c r="B52" s="4" t="n">
        <f aca="false">COUNTIF('Test Cases'!$J$5:$J$168,"P3")</f>
        <v>7</v>
      </c>
      <c r="C52" s="4" t="n">
        <f aca="false">COUNTIFS('Test Cases'!$J$5:$J$168,"P3",'Test Cases'!$H$5:$H$168,"Pass")</f>
        <v>7</v>
      </c>
      <c r="D52" s="4" t="n">
        <f aca="false">COUNTIFS('Test Cases'!$J$5:$J$168,"P3",'Test Cases'!$H$5:$H$168,"Not Run")+COUNTIFS('Test Cases'!$J$5:$J$168,"P3",'Test Cases'!$H$5:$H$168,"Blocked")</f>
        <v>0</v>
      </c>
    </row>
    <row r="54" customFormat="false" ht="15" hidden="false" customHeight="false" outlineLevel="0" collapsed="false">
      <c r="A54" s="3" t="s">
        <v>71</v>
      </c>
      <c r="B54" s="3" t="s">
        <v>72</v>
      </c>
      <c r="C54" s="3" t="s">
        <v>5</v>
      </c>
      <c r="D54" s="3" t="s">
        <v>6</v>
      </c>
      <c r="E54" s="3" t="s">
        <v>8</v>
      </c>
      <c r="F54" s="3" t="s">
        <v>15</v>
      </c>
    </row>
    <row r="55" customFormat="false" ht="15" hidden="false" customHeight="false" outlineLevel="0" collapsed="false">
      <c r="A55" s="4" t="s">
        <v>73</v>
      </c>
      <c r="B55" s="4" t="n">
        <f aca="false">COUNTIF('Functional Test Cases'!$B$5:$B$128,A55)</f>
        <v>13</v>
      </c>
      <c r="C55" s="4" t="n">
        <f aca="false">COUNTIFS('Functional Test Cases'!$B$5:$B$128,A55,'Functional Test Cases'!$J$5:$J$128,"Pass")</f>
        <v>13</v>
      </c>
      <c r="D55" s="4" t="n">
        <f aca="false">COUNTIFS('Functional Test Cases'!$B$5:$B$128,A55,'Functional Test Cases'!$J$5:$J$128,"Fail")</f>
        <v>0</v>
      </c>
      <c r="E55" s="4" t="n">
        <f aca="false">COUNTIFS('Functional Test Cases'!$B$5:$B$128,A55,'Functional Test Cases'!$J$5:$J$128,"Not Run")</f>
        <v>0</v>
      </c>
      <c r="F55" s="5" t="n">
        <f aca="false">IF(B55=0,0,C55/B55)</f>
        <v>1</v>
      </c>
    </row>
    <row r="56" customFormat="false" ht="15" hidden="false" customHeight="false" outlineLevel="0" collapsed="false">
      <c r="A56" s="4" t="s">
        <v>74</v>
      </c>
      <c r="B56" s="4" t="n">
        <f aca="false">COUNTIF('Functional Test Cases'!$B$5:$B$128,A56)</f>
        <v>8</v>
      </c>
      <c r="C56" s="4" t="n">
        <f aca="false">COUNTIFS('Functional Test Cases'!$B$5:$B$128,A56,'Functional Test Cases'!$J$5:$J$128,"Pass")</f>
        <v>8</v>
      </c>
      <c r="D56" s="4" t="n">
        <f aca="false">COUNTIFS('Functional Test Cases'!$B$5:$B$128,A56,'Functional Test Cases'!$J$5:$J$128,"Fail")</f>
        <v>0</v>
      </c>
      <c r="E56" s="4" t="n">
        <f aca="false">COUNTIFS('Functional Test Cases'!$B$5:$B$128,A56,'Functional Test Cases'!$J$5:$J$128,"Not Run")</f>
        <v>0</v>
      </c>
      <c r="F56" s="5" t="n">
        <f aca="false">IF(B56=0,0,C56/B56)</f>
        <v>1</v>
      </c>
    </row>
    <row r="57" customFormat="false" ht="15" hidden="false" customHeight="false" outlineLevel="0" collapsed="false">
      <c r="A57" s="4" t="s">
        <v>75</v>
      </c>
      <c r="B57" s="4" t="n">
        <f aca="false">COUNTIF('Functional Test Cases'!$B$5:$B$128,A57)</f>
        <v>9</v>
      </c>
      <c r="C57" s="4" t="n">
        <f aca="false">COUNTIFS('Functional Test Cases'!$B$5:$B$128,A57,'Functional Test Cases'!$J$5:$J$128,"Pass")</f>
        <v>9</v>
      </c>
      <c r="D57" s="4" t="n">
        <f aca="false">COUNTIFS('Functional Test Cases'!$B$5:$B$128,A57,'Functional Test Cases'!$J$5:$J$128,"Fail")</f>
        <v>0</v>
      </c>
      <c r="E57" s="4" t="n">
        <f aca="false">COUNTIFS('Functional Test Cases'!$B$5:$B$128,A57,'Functional Test Cases'!$J$5:$J$128,"Not Run")</f>
        <v>0</v>
      </c>
      <c r="F57" s="5" t="n">
        <f aca="false">IF(B57=0,0,C57/B57)</f>
        <v>1</v>
      </c>
    </row>
    <row r="58" customFormat="false" ht="15" hidden="false" customHeight="false" outlineLevel="0" collapsed="false">
      <c r="A58" s="4" t="s">
        <v>76</v>
      </c>
      <c r="B58" s="4" t="n">
        <f aca="false">COUNTIF('Functional Test Cases'!$B$5:$B$128,A58)</f>
        <v>8</v>
      </c>
      <c r="C58" s="4" t="n">
        <f aca="false">COUNTIFS('Functional Test Cases'!$B$5:$B$128,A58,'Functional Test Cases'!$J$5:$J$128,"Pass")</f>
        <v>8</v>
      </c>
      <c r="D58" s="4" t="n">
        <f aca="false">COUNTIFS('Functional Test Cases'!$B$5:$B$128,A58,'Functional Test Cases'!$J$5:$J$128,"Fail")</f>
        <v>0</v>
      </c>
      <c r="E58" s="4" t="n">
        <f aca="false">COUNTIFS('Functional Test Cases'!$B$5:$B$128,A58,'Functional Test Cases'!$J$5:$J$128,"Not Run")</f>
        <v>0</v>
      </c>
      <c r="F58" s="5" t="n">
        <f aca="false">IF(B58=0,0,C58/B58)</f>
        <v>1</v>
      </c>
    </row>
    <row r="59" customFormat="false" ht="15" hidden="false" customHeight="false" outlineLevel="0" collapsed="false">
      <c r="A59" s="4" t="s">
        <v>77</v>
      </c>
      <c r="B59" s="4" t="n">
        <f aca="false">COUNTIF('Functional Test Cases'!$B$5:$B$128,A59)</f>
        <v>13</v>
      </c>
      <c r="C59" s="4" t="n">
        <f aca="false">COUNTIFS('Functional Test Cases'!$B$5:$B$128,A59,'Functional Test Cases'!$J$5:$J$128,"Pass")</f>
        <v>13</v>
      </c>
      <c r="D59" s="4" t="n">
        <f aca="false">COUNTIFS('Functional Test Cases'!$B$5:$B$128,A59,'Functional Test Cases'!$J$5:$J$128,"Fail")</f>
        <v>0</v>
      </c>
      <c r="E59" s="4" t="n">
        <f aca="false">COUNTIFS('Functional Test Cases'!$B$5:$B$128,A59,'Functional Test Cases'!$J$5:$J$128,"Not Run")</f>
        <v>0</v>
      </c>
      <c r="F59" s="5" t="n">
        <f aca="false">IF(B59=0,0,C59/B59)</f>
        <v>1</v>
      </c>
    </row>
    <row r="60" customFormat="false" ht="15" hidden="false" customHeight="false" outlineLevel="0" collapsed="false">
      <c r="A60" s="4" t="s">
        <v>78</v>
      </c>
      <c r="B60" s="4" t="n">
        <f aca="false">COUNTIF('Functional Test Cases'!$B$5:$B$128,A60)</f>
        <v>8</v>
      </c>
      <c r="C60" s="4" t="n">
        <f aca="false">COUNTIFS('Functional Test Cases'!$B$5:$B$128,A60,'Functional Test Cases'!$J$5:$J$128,"Pass")</f>
        <v>8</v>
      </c>
      <c r="D60" s="4" t="n">
        <f aca="false">COUNTIFS('Functional Test Cases'!$B$5:$B$128,A60,'Functional Test Cases'!$J$5:$J$128,"Fail")</f>
        <v>0</v>
      </c>
      <c r="E60" s="4" t="n">
        <f aca="false">COUNTIFS('Functional Test Cases'!$B$5:$B$128,A60,'Functional Test Cases'!$J$5:$J$128,"Not Run")</f>
        <v>0</v>
      </c>
      <c r="F60" s="5" t="n">
        <f aca="false">IF(B60=0,0,C60/B60)</f>
        <v>1</v>
      </c>
    </row>
    <row r="61" customFormat="false" ht="15" hidden="false" customHeight="false" outlineLevel="0" collapsed="false">
      <c r="A61" s="4" t="s">
        <v>79</v>
      </c>
      <c r="B61" s="4" t="n">
        <f aca="false">COUNTIF('Functional Test Cases'!$B$5:$B$128,A61)</f>
        <v>12</v>
      </c>
      <c r="C61" s="4" t="n">
        <f aca="false">COUNTIFS('Functional Test Cases'!$B$5:$B$128,A61,'Functional Test Cases'!$J$5:$J$128,"Pass")</f>
        <v>12</v>
      </c>
      <c r="D61" s="4" t="n">
        <f aca="false">COUNTIFS('Functional Test Cases'!$B$5:$B$128,A61,'Functional Test Cases'!$J$5:$J$128,"Fail")</f>
        <v>0</v>
      </c>
      <c r="E61" s="4" t="n">
        <f aca="false">COUNTIFS('Functional Test Cases'!$B$5:$B$128,A61,'Functional Test Cases'!$J$5:$J$128,"Not Run")</f>
        <v>0</v>
      </c>
      <c r="F61" s="5" t="n">
        <f aca="false">IF(B61=0,0,C61/B61)</f>
        <v>1</v>
      </c>
    </row>
    <row r="62" customFormat="false" ht="15" hidden="false" customHeight="false" outlineLevel="0" collapsed="false">
      <c r="A62" s="4" t="s">
        <v>80</v>
      </c>
      <c r="B62" s="4" t="n">
        <f aca="false">COUNTIF('Functional Test Cases'!$B$5:$B$128,A62)</f>
        <v>9</v>
      </c>
      <c r="C62" s="4" t="n">
        <f aca="false">COUNTIFS('Functional Test Cases'!$B$5:$B$128,A62,'Functional Test Cases'!$J$5:$J$128,"Pass")</f>
        <v>9</v>
      </c>
      <c r="D62" s="4" t="n">
        <f aca="false">COUNTIFS('Functional Test Cases'!$B$5:$B$128,A62,'Functional Test Cases'!$J$5:$J$128,"Fail")</f>
        <v>0</v>
      </c>
      <c r="E62" s="4" t="n">
        <f aca="false">COUNTIFS('Functional Test Cases'!$B$5:$B$128,A62,'Functional Test Cases'!$J$5:$J$128,"Not Run")</f>
        <v>0</v>
      </c>
      <c r="F62" s="5" t="n">
        <f aca="false">IF(B62=0,0,C62/B62)</f>
        <v>1</v>
      </c>
    </row>
    <row r="63" customFormat="false" ht="15" hidden="false" customHeight="false" outlineLevel="0" collapsed="false">
      <c r="A63" s="4" t="s">
        <v>81</v>
      </c>
      <c r="B63" s="4" t="n">
        <f aca="false">COUNTIF('Functional Test Cases'!$B$5:$B$128,A63)</f>
        <v>8</v>
      </c>
      <c r="C63" s="4" t="n">
        <f aca="false">COUNTIFS('Functional Test Cases'!$B$5:$B$128,A63,'Functional Test Cases'!$J$5:$J$128,"Pass")</f>
        <v>8</v>
      </c>
      <c r="D63" s="4" t="n">
        <f aca="false">COUNTIFS('Functional Test Cases'!$B$5:$B$128,A63,'Functional Test Cases'!$J$5:$J$128,"Fail")</f>
        <v>0</v>
      </c>
      <c r="E63" s="4" t="n">
        <f aca="false">COUNTIFS('Functional Test Cases'!$B$5:$B$128,A63,'Functional Test Cases'!$J$5:$J$128,"Not Run")</f>
        <v>0</v>
      </c>
      <c r="F63" s="5" t="n">
        <f aca="false">IF(B63=0,0,C63/B63)</f>
        <v>1</v>
      </c>
    </row>
    <row r="64" customFormat="false" ht="15" hidden="false" customHeight="false" outlineLevel="0" collapsed="false">
      <c r="A64" s="4" t="s">
        <v>82</v>
      </c>
      <c r="B64" s="4" t="n">
        <f aca="false">COUNTIF('Functional Test Cases'!$B$5:$B$128,A64)</f>
        <v>3</v>
      </c>
      <c r="C64" s="4" t="n">
        <f aca="false">COUNTIFS('Functional Test Cases'!$B$5:$B$128,A64,'Functional Test Cases'!$J$5:$J$128,"Pass")</f>
        <v>2</v>
      </c>
      <c r="D64" s="4" t="n">
        <f aca="false">COUNTIFS('Functional Test Cases'!$B$5:$B$128,A64,'Functional Test Cases'!$J$5:$J$128,"Fail")</f>
        <v>0</v>
      </c>
      <c r="E64" s="4" t="n">
        <f aca="false">COUNTIFS('Functional Test Cases'!$B$5:$B$128,A64,'Functional Test Cases'!$J$5:$J$128,"Not Run")</f>
        <v>1</v>
      </c>
      <c r="F64" s="5" t="n">
        <f aca="false">IF(B64=0,0,C64/B64)</f>
        <v>0.666666666666667</v>
      </c>
    </row>
    <row r="65" customFormat="false" ht="15" hidden="false" customHeight="false" outlineLevel="0" collapsed="false">
      <c r="A65" s="4" t="s">
        <v>83</v>
      </c>
      <c r="B65" s="4" t="n">
        <f aca="false">COUNTIF('Functional Test Cases'!$B$5:$B$128,A65)</f>
        <v>6</v>
      </c>
      <c r="C65" s="4" t="n">
        <f aca="false">COUNTIFS('Functional Test Cases'!$B$5:$B$128,A65,'Functional Test Cases'!$J$5:$J$128,"Pass")</f>
        <v>6</v>
      </c>
      <c r="D65" s="4" t="n">
        <f aca="false">COUNTIFS('Functional Test Cases'!$B$5:$B$128,A65,'Functional Test Cases'!$J$5:$J$128,"Fail")</f>
        <v>0</v>
      </c>
      <c r="E65" s="4" t="n">
        <f aca="false">COUNTIFS('Functional Test Cases'!$B$5:$B$128,A65,'Functional Test Cases'!$J$5:$J$128,"Not Run")</f>
        <v>0</v>
      </c>
      <c r="F65" s="5" t="n">
        <f aca="false">IF(B65=0,0,C65/B65)</f>
        <v>1</v>
      </c>
    </row>
    <row r="66" customFormat="false" ht="15" hidden="false" customHeight="false" outlineLevel="0" collapsed="false">
      <c r="A66" s="4" t="s">
        <v>84</v>
      </c>
      <c r="B66" s="4" t="n">
        <f aca="false">COUNTIF('Functional Test Cases'!$B$5:$B$128,A66)</f>
        <v>5</v>
      </c>
      <c r="C66" s="4" t="n">
        <f aca="false">COUNTIFS('Functional Test Cases'!$B$5:$B$128,A66,'Functional Test Cases'!$J$5:$J$128,"Pass")</f>
        <v>5</v>
      </c>
      <c r="D66" s="4" t="n">
        <f aca="false">COUNTIFS('Functional Test Cases'!$B$5:$B$128,A66,'Functional Test Cases'!$J$5:$J$128,"Fail")</f>
        <v>0</v>
      </c>
      <c r="E66" s="4" t="n">
        <f aca="false">COUNTIFS('Functional Test Cases'!$B$5:$B$128,A66,'Functional Test Cases'!$J$5:$J$128,"Not Run")</f>
        <v>0</v>
      </c>
      <c r="F66" s="5" t="n">
        <f aca="false">IF(B66=0,0,C66/B66)</f>
        <v>1</v>
      </c>
    </row>
    <row r="67" customFormat="false" ht="15" hidden="false" customHeight="false" outlineLevel="0" collapsed="false">
      <c r="A67" s="4" t="s">
        <v>85</v>
      </c>
      <c r="B67" s="4" t="n">
        <f aca="false">COUNTIF('Functional Test Cases'!$B$5:$B$128,A67)</f>
        <v>8</v>
      </c>
      <c r="C67" s="4" t="n">
        <f aca="false">COUNTIFS('Functional Test Cases'!$B$5:$B$128,A67,'Functional Test Cases'!$J$5:$J$128,"Pass")</f>
        <v>8</v>
      </c>
      <c r="D67" s="4" t="n">
        <f aca="false">COUNTIFS('Functional Test Cases'!$B$5:$B$128,A67,'Functional Test Cases'!$J$5:$J$128,"Fail")</f>
        <v>0</v>
      </c>
      <c r="E67" s="4" t="n">
        <f aca="false">COUNTIFS('Functional Test Cases'!$B$5:$B$128,A67,'Functional Test Cases'!$J$5:$J$128,"Not Run")</f>
        <v>0</v>
      </c>
      <c r="F67" s="5" t="n">
        <f aca="false">IF(B67=0,0,C67/B67)</f>
        <v>1</v>
      </c>
    </row>
    <row r="68" customFormat="false" ht="15" hidden="false" customHeight="false" outlineLevel="0" collapsed="false">
      <c r="A68" s="4" t="s">
        <v>86</v>
      </c>
      <c r="B68" s="4" t="n">
        <f aca="false">COUNTIF('Functional Test Cases'!$B$5:$B$128,A68)</f>
        <v>8</v>
      </c>
      <c r="C68" s="4" t="n">
        <f aca="false">COUNTIFS('Functional Test Cases'!$B$5:$B$128,A68,'Functional Test Cases'!$J$5:$J$128,"Pass")</f>
        <v>8</v>
      </c>
      <c r="D68" s="4" t="n">
        <f aca="false">COUNTIFS('Functional Test Cases'!$B$5:$B$128,A68,'Functional Test Cases'!$J$5:$J$128,"Fail")</f>
        <v>0</v>
      </c>
      <c r="E68" s="4" t="n">
        <f aca="false">COUNTIFS('Functional Test Cases'!$B$5:$B$128,A68,'Functional Test Cases'!$J$5:$J$128,"Not Run")</f>
        <v>0</v>
      </c>
      <c r="F68" s="5" t="n">
        <f aca="false">IF(B68=0,0,C68/B68)</f>
        <v>1</v>
      </c>
    </row>
    <row r="69" customFormat="false" ht="15" hidden="false" customHeight="false" outlineLevel="0" collapsed="false">
      <c r="A69" s="4" t="s">
        <v>87</v>
      </c>
      <c r="B69" s="4" t="n">
        <f aca="false">COUNTIF('Functional Test Cases'!$B$5:$B$128,A69)</f>
        <v>6</v>
      </c>
      <c r="C69" s="4" t="n">
        <f aca="false">COUNTIFS('Functional Test Cases'!$B$5:$B$128,A69,'Functional Test Cases'!$J$5:$J$128,"Pass")</f>
        <v>4</v>
      </c>
      <c r="D69" s="4" t="n">
        <f aca="false">COUNTIFS('Functional Test Cases'!$B$5:$B$128,A69,'Functional Test Cases'!$J$5:$J$128,"Fail")</f>
        <v>0</v>
      </c>
      <c r="E69" s="4" t="n">
        <f aca="false">COUNTIFS('Functional Test Cases'!$B$5:$B$128,A69,'Functional Test Cases'!$J$5:$J$128,"Not Run")</f>
        <v>2</v>
      </c>
      <c r="F69" s="5" t="n">
        <f aca="false">IF(B69=0,0,C69/B69)</f>
        <v>0.666666666666667</v>
      </c>
    </row>
    <row r="70" customFormat="false" ht="15" hidden="false" customHeight="false" outlineLevel="0" collapsed="false">
      <c r="A70" s="6" t="s">
        <v>88</v>
      </c>
      <c r="B70" s="6" t="n">
        <f aca="false">SUM(B55:B69)</f>
        <v>124</v>
      </c>
      <c r="C70" s="6" t="n">
        <f aca="false">SUM(C55:C69)</f>
        <v>121</v>
      </c>
      <c r="D70" s="6" t="n">
        <f aca="false">SUM(D55:D69)</f>
        <v>0</v>
      </c>
      <c r="E70" s="6" t="n">
        <f aca="false">SUM(E55:E69)</f>
        <v>3</v>
      </c>
      <c r="F70" s="7" t="n">
        <f aca="false">IF(B70=0,0,C70/B70)</f>
        <v>0.975806451612903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30"/>
    <col collapsed="false" customWidth="true" hidden="false" outlineLevel="0" max="4" min="4" style="0" width="22"/>
    <col collapsed="false" customWidth="true" hidden="false" outlineLevel="0" max="5" min="5" style="0" width="30"/>
    <col collapsed="false" customWidth="true" hidden="false" outlineLevel="0" max="6" min="6" style="0" width="36"/>
    <col collapsed="false" customWidth="true" hidden="false" outlineLevel="0" max="7" min="7" style="0" width="34"/>
    <col collapsed="false" customWidth="true" hidden="false" outlineLevel="0" max="8" min="8" style="0" width="40"/>
    <col collapsed="false" customWidth="true" hidden="false" outlineLevel="0" max="9" min="9" style="0" width="30"/>
    <col collapsed="false" customWidth="true" hidden="false" outlineLevel="0" max="10" min="10" style="0" width="9"/>
    <col collapsed="false" customWidth="true" hidden="false" outlineLevel="0" max="11" min="11" style="0" width="18"/>
    <col collapsed="false" customWidth="true" hidden="false" outlineLevel="0" max="12" min="12" style="0" width="8"/>
    <col collapsed="false" customWidth="true" hidden="false" outlineLevel="0" max="13" min="13" style="0" width="30"/>
    <col collapsed="false" customWidth="true" hidden="false" outlineLevel="0" max="14" min="14" style="0" width="10"/>
    <col collapsed="false" customWidth="true" hidden="false" outlineLevel="0" max="15" min="15" style="0" width="11"/>
  </cols>
  <sheetData>
    <row r="1" customFormat="false" ht="17.35" hidden="false" customHeight="false" outlineLevel="0" collapsed="false">
      <c r="A1" s="1" t="s">
        <v>89</v>
      </c>
    </row>
    <row r="2" customFormat="false" ht="15" hidden="false" customHeight="false" outlineLevel="0" collapsed="false">
      <c r="A2" s="2" t="s">
        <v>90</v>
      </c>
    </row>
    <row r="4" customFormat="false" ht="23.85" hidden="false" customHeight="false" outlineLevel="0" collapsed="false">
      <c r="A4" s="3" t="s">
        <v>91</v>
      </c>
      <c r="B4" s="3" t="s">
        <v>92</v>
      </c>
      <c r="C4" s="3" t="s">
        <v>93</v>
      </c>
      <c r="D4" s="3" t="s">
        <v>94</v>
      </c>
      <c r="E4" s="3" t="s">
        <v>95</v>
      </c>
      <c r="F4" s="3" t="s">
        <v>96</v>
      </c>
      <c r="G4" s="3" t="s">
        <v>97</v>
      </c>
      <c r="H4" s="3" t="s">
        <v>98</v>
      </c>
      <c r="I4" s="3" t="s">
        <v>99</v>
      </c>
      <c r="J4" s="3" t="s">
        <v>100</v>
      </c>
      <c r="K4" s="3" t="s">
        <v>101</v>
      </c>
      <c r="L4" s="3" t="s">
        <v>66</v>
      </c>
      <c r="M4" s="3" t="s">
        <v>102</v>
      </c>
      <c r="N4" s="3" t="s">
        <v>103</v>
      </c>
      <c r="O4" s="3" t="s">
        <v>104</v>
      </c>
    </row>
    <row r="5" customFormat="false" ht="53.7" hidden="false" customHeight="false" outlineLevel="0" collapsed="false">
      <c r="A5" s="8" t="s">
        <v>105</v>
      </c>
      <c r="B5" s="8" t="s">
        <v>73</v>
      </c>
      <c r="C5" s="8" t="s">
        <v>106</v>
      </c>
      <c r="D5" s="8" t="s">
        <v>107</v>
      </c>
      <c r="E5" s="8" t="s">
        <v>108</v>
      </c>
      <c r="F5" s="8" t="s">
        <v>109</v>
      </c>
      <c r="G5" s="8" t="s">
        <v>110</v>
      </c>
      <c r="H5" s="8" t="s">
        <v>111</v>
      </c>
      <c r="I5" s="8" t="s">
        <v>112</v>
      </c>
      <c r="J5" s="8" t="s">
        <v>5</v>
      </c>
      <c r="K5" s="8" t="s">
        <v>113</v>
      </c>
      <c r="L5" s="8" t="s">
        <v>114</v>
      </c>
      <c r="M5" s="8" t="s">
        <v>115</v>
      </c>
      <c r="N5" s="8" t="n">
        <v>1130.4</v>
      </c>
      <c r="O5" s="8" t="s">
        <v>116</v>
      </c>
    </row>
    <row r="6" customFormat="false" ht="32.8" hidden="false" customHeight="false" outlineLevel="0" collapsed="false">
      <c r="A6" s="8" t="s">
        <v>117</v>
      </c>
      <c r="B6" s="8" t="s">
        <v>73</v>
      </c>
      <c r="C6" s="8" t="s">
        <v>106</v>
      </c>
      <c r="D6" s="8" t="s">
        <v>107</v>
      </c>
      <c r="E6" s="8" t="s">
        <v>118</v>
      </c>
      <c r="F6" s="8" t="s">
        <v>119</v>
      </c>
      <c r="G6" s="8" t="s">
        <v>120</v>
      </c>
      <c r="H6" s="8" t="s">
        <v>121</v>
      </c>
      <c r="I6" s="8" t="s">
        <v>112</v>
      </c>
      <c r="J6" s="8" t="s">
        <v>5</v>
      </c>
      <c r="K6" s="8" t="s">
        <v>113</v>
      </c>
      <c r="L6" s="8" t="s">
        <v>114</v>
      </c>
      <c r="M6" s="8" t="s">
        <v>115</v>
      </c>
      <c r="N6" s="8" t="n">
        <v>5.4</v>
      </c>
      <c r="O6" s="8" t="s">
        <v>116</v>
      </c>
    </row>
    <row r="7" customFormat="false" ht="22.35" hidden="false" customHeight="false" outlineLevel="0" collapsed="false">
      <c r="A7" s="8" t="s">
        <v>122</v>
      </c>
      <c r="B7" s="8" t="s">
        <v>73</v>
      </c>
      <c r="C7" s="8" t="s">
        <v>106</v>
      </c>
      <c r="D7" s="8" t="s">
        <v>107</v>
      </c>
      <c r="E7" s="8" t="s">
        <v>123</v>
      </c>
      <c r="F7" s="8" t="s">
        <v>43</v>
      </c>
      <c r="G7" s="8" t="s">
        <v>124</v>
      </c>
      <c r="H7" s="8" t="s">
        <v>125</v>
      </c>
      <c r="I7" s="8" t="s">
        <v>112</v>
      </c>
      <c r="J7" s="8" t="s">
        <v>5</v>
      </c>
      <c r="K7" s="8" t="s">
        <v>113</v>
      </c>
      <c r="L7" s="8" t="s">
        <v>114</v>
      </c>
      <c r="M7" s="8" t="s">
        <v>115</v>
      </c>
      <c r="N7" s="8" t="n">
        <v>9.8</v>
      </c>
      <c r="O7" s="8" t="s">
        <v>116</v>
      </c>
    </row>
    <row r="8" customFormat="false" ht="32.8" hidden="false" customHeight="false" outlineLevel="0" collapsed="false">
      <c r="A8" s="8" t="s">
        <v>126</v>
      </c>
      <c r="B8" s="8" t="s">
        <v>73</v>
      </c>
      <c r="C8" s="8" t="s">
        <v>127</v>
      </c>
      <c r="D8" s="8" t="s">
        <v>128</v>
      </c>
      <c r="E8" s="8" t="s">
        <v>129</v>
      </c>
      <c r="F8" s="8" t="s">
        <v>130</v>
      </c>
      <c r="G8" s="8" t="s">
        <v>131</v>
      </c>
      <c r="H8" s="8" t="s">
        <v>132</v>
      </c>
      <c r="I8" s="8" t="s">
        <v>112</v>
      </c>
      <c r="J8" s="8" t="s">
        <v>5</v>
      </c>
      <c r="K8" s="8" t="s">
        <v>133</v>
      </c>
      <c r="L8" s="8" t="s">
        <v>114</v>
      </c>
      <c r="M8" s="8" t="s">
        <v>115</v>
      </c>
      <c r="N8" s="8" t="n">
        <v>0.7</v>
      </c>
      <c r="O8" s="8" t="s">
        <v>116</v>
      </c>
    </row>
    <row r="9" customFormat="false" ht="32.8" hidden="false" customHeight="false" outlineLevel="0" collapsed="false">
      <c r="A9" s="8" t="s">
        <v>134</v>
      </c>
      <c r="B9" s="8" t="s">
        <v>73</v>
      </c>
      <c r="C9" s="8" t="s">
        <v>127</v>
      </c>
      <c r="D9" s="8" t="s">
        <v>128</v>
      </c>
      <c r="E9" s="8" t="s">
        <v>135</v>
      </c>
      <c r="F9" s="8" t="s">
        <v>136</v>
      </c>
      <c r="G9" s="8" t="s">
        <v>131</v>
      </c>
      <c r="H9" s="8" t="s">
        <v>137</v>
      </c>
      <c r="I9" s="8" t="s">
        <v>112</v>
      </c>
      <c r="J9" s="8" t="s">
        <v>5</v>
      </c>
      <c r="K9" s="8" t="s">
        <v>133</v>
      </c>
      <c r="L9" s="8" t="s">
        <v>114</v>
      </c>
      <c r="M9" s="8" t="s">
        <v>115</v>
      </c>
      <c r="N9" s="8" t="n">
        <v>0.6</v>
      </c>
      <c r="O9" s="8" t="s">
        <v>116</v>
      </c>
    </row>
    <row r="10" customFormat="false" ht="22.35" hidden="false" customHeight="false" outlineLevel="0" collapsed="false">
      <c r="A10" s="8" t="s">
        <v>138</v>
      </c>
      <c r="B10" s="8" t="s">
        <v>73</v>
      </c>
      <c r="C10" s="8" t="s">
        <v>127</v>
      </c>
      <c r="D10" s="8" t="s">
        <v>128</v>
      </c>
      <c r="E10" s="8" t="s">
        <v>139</v>
      </c>
      <c r="F10" s="8" t="s">
        <v>43</v>
      </c>
      <c r="G10" s="8" t="s">
        <v>140</v>
      </c>
      <c r="H10" s="8" t="s">
        <v>141</v>
      </c>
      <c r="I10" s="8" t="s">
        <v>112</v>
      </c>
      <c r="J10" s="8" t="s">
        <v>5</v>
      </c>
      <c r="K10" s="8" t="s">
        <v>133</v>
      </c>
      <c r="L10" s="8" t="s">
        <v>114</v>
      </c>
      <c r="M10" s="8" t="s">
        <v>115</v>
      </c>
      <c r="N10" s="8" t="n">
        <v>4.5</v>
      </c>
      <c r="O10" s="8" t="s">
        <v>116</v>
      </c>
    </row>
    <row r="11" customFormat="false" ht="53.7" hidden="false" customHeight="false" outlineLevel="0" collapsed="false">
      <c r="A11" s="8" t="s">
        <v>142</v>
      </c>
      <c r="B11" s="8" t="s">
        <v>73</v>
      </c>
      <c r="C11" s="8" t="s">
        <v>143</v>
      </c>
      <c r="D11" s="8" t="s">
        <v>107</v>
      </c>
      <c r="E11" s="8" t="s">
        <v>144</v>
      </c>
      <c r="F11" s="8" t="s">
        <v>145</v>
      </c>
      <c r="G11" s="8" t="s">
        <v>146</v>
      </c>
      <c r="H11" s="8" t="s">
        <v>147</v>
      </c>
      <c r="I11" s="8" t="s">
        <v>112</v>
      </c>
      <c r="J11" s="8" t="s">
        <v>5</v>
      </c>
      <c r="K11" s="8" t="s">
        <v>148</v>
      </c>
      <c r="L11" s="8" t="s">
        <v>114</v>
      </c>
      <c r="M11" s="8" t="s">
        <v>115</v>
      </c>
      <c r="N11" s="8" t="n">
        <v>5.1</v>
      </c>
      <c r="O11" s="8" t="s">
        <v>116</v>
      </c>
    </row>
    <row r="12" customFormat="false" ht="22.35" hidden="false" customHeight="false" outlineLevel="0" collapsed="false">
      <c r="A12" s="8" t="s">
        <v>149</v>
      </c>
      <c r="B12" s="8" t="s">
        <v>73</v>
      </c>
      <c r="C12" s="8" t="s">
        <v>143</v>
      </c>
      <c r="D12" s="8" t="s">
        <v>107</v>
      </c>
      <c r="E12" s="8" t="s">
        <v>150</v>
      </c>
      <c r="F12" s="8" t="s">
        <v>43</v>
      </c>
      <c r="G12" s="8" t="s">
        <v>151</v>
      </c>
      <c r="H12" s="8" t="s">
        <v>152</v>
      </c>
      <c r="I12" s="8" t="s">
        <v>112</v>
      </c>
      <c r="J12" s="8" t="s">
        <v>5</v>
      </c>
      <c r="K12" s="8" t="s">
        <v>148</v>
      </c>
      <c r="L12" s="8" t="s">
        <v>114</v>
      </c>
      <c r="M12" s="8" t="s">
        <v>115</v>
      </c>
      <c r="N12" s="8" t="n">
        <v>3.2</v>
      </c>
      <c r="O12" s="8" t="s">
        <v>116</v>
      </c>
    </row>
    <row r="13" customFormat="false" ht="53.7" hidden="false" customHeight="false" outlineLevel="0" collapsed="false">
      <c r="A13" s="8" t="s">
        <v>153</v>
      </c>
      <c r="B13" s="8" t="s">
        <v>73</v>
      </c>
      <c r="C13" s="8" t="s">
        <v>154</v>
      </c>
      <c r="D13" s="8" t="s">
        <v>107</v>
      </c>
      <c r="E13" s="8" t="s">
        <v>155</v>
      </c>
      <c r="F13" s="8" t="s">
        <v>156</v>
      </c>
      <c r="G13" s="8" t="s">
        <v>157</v>
      </c>
      <c r="H13" s="8" t="s">
        <v>158</v>
      </c>
      <c r="I13" s="8" t="s">
        <v>112</v>
      </c>
      <c r="J13" s="8" t="s">
        <v>5</v>
      </c>
      <c r="K13" s="8" t="s">
        <v>159</v>
      </c>
      <c r="L13" s="8" t="s">
        <v>114</v>
      </c>
      <c r="M13" s="8" t="s">
        <v>115</v>
      </c>
      <c r="N13" s="8" t="n">
        <v>8.9</v>
      </c>
      <c r="O13" s="8" t="s">
        <v>116</v>
      </c>
    </row>
    <row r="14" customFormat="false" ht="32.8" hidden="false" customHeight="false" outlineLevel="0" collapsed="false">
      <c r="A14" s="8" t="s">
        <v>160</v>
      </c>
      <c r="B14" s="8" t="s">
        <v>73</v>
      </c>
      <c r="C14" s="8" t="s">
        <v>161</v>
      </c>
      <c r="D14" s="8" t="s">
        <v>128</v>
      </c>
      <c r="E14" s="8" t="s">
        <v>162</v>
      </c>
      <c r="F14" s="8" t="s">
        <v>163</v>
      </c>
      <c r="G14" s="8" t="s">
        <v>164</v>
      </c>
      <c r="H14" s="8" t="s">
        <v>165</v>
      </c>
      <c r="I14" s="8" t="s">
        <v>112</v>
      </c>
      <c r="J14" s="8" t="s">
        <v>5</v>
      </c>
      <c r="K14" s="8" t="s">
        <v>166</v>
      </c>
      <c r="L14" s="8" t="s">
        <v>114</v>
      </c>
      <c r="M14" s="8" t="s">
        <v>115</v>
      </c>
      <c r="N14" s="8" t="n">
        <v>21.1</v>
      </c>
      <c r="O14" s="8" t="s">
        <v>116</v>
      </c>
    </row>
    <row r="15" customFormat="false" ht="22.35" hidden="false" customHeight="false" outlineLevel="0" collapsed="false">
      <c r="A15" s="8" t="s">
        <v>167</v>
      </c>
      <c r="B15" s="8" t="s">
        <v>73</v>
      </c>
      <c r="C15" s="8" t="s">
        <v>161</v>
      </c>
      <c r="D15" s="8" t="s">
        <v>128</v>
      </c>
      <c r="E15" s="8" t="s">
        <v>168</v>
      </c>
      <c r="F15" s="8" t="s">
        <v>169</v>
      </c>
      <c r="G15" s="8" t="s">
        <v>170</v>
      </c>
      <c r="H15" s="8" t="s">
        <v>171</v>
      </c>
      <c r="I15" s="8" t="s">
        <v>112</v>
      </c>
      <c r="J15" s="8" t="s">
        <v>5</v>
      </c>
      <c r="K15" s="8" t="s">
        <v>166</v>
      </c>
      <c r="L15" s="8" t="s">
        <v>114</v>
      </c>
      <c r="M15" s="8" t="s">
        <v>115</v>
      </c>
      <c r="N15" s="8" t="n">
        <v>14.4</v>
      </c>
      <c r="O15" s="8" t="s">
        <v>116</v>
      </c>
    </row>
    <row r="16" customFormat="false" ht="32.8" hidden="false" customHeight="false" outlineLevel="0" collapsed="false">
      <c r="A16" s="8" t="s">
        <v>172</v>
      </c>
      <c r="B16" s="8" t="s">
        <v>73</v>
      </c>
      <c r="C16" s="8" t="s">
        <v>173</v>
      </c>
      <c r="D16" s="8" t="s">
        <v>128</v>
      </c>
      <c r="E16" s="8" t="s">
        <v>174</v>
      </c>
      <c r="F16" s="8" t="s">
        <v>175</v>
      </c>
      <c r="G16" s="8" t="s">
        <v>43</v>
      </c>
      <c r="H16" s="8" t="s">
        <v>176</v>
      </c>
      <c r="I16" s="8" t="s">
        <v>112</v>
      </c>
      <c r="J16" s="8" t="s">
        <v>5</v>
      </c>
      <c r="K16" s="8" t="s">
        <v>177</v>
      </c>
      <c r="L16" s="8" t="s">
        <v>114</v>
      </c>
      <c r="M16" s="8" t="s">
        <v>115</v>
      </c>
      <c r="N16" s="8" t="n">
        <v>0.6</v>
      </c>
      <c r="O16" s="8" t="s">
        <v>116</v>
      </c>
    </row>
    <row r="17" customFormat="false" ht="22.35" hidden="false" customHeight="false" outlineLevel="0" collapsed="false">
      <c r="A17" s="8" t="s">
        <v>178</v>
      </c>
      <c r="B17" s="8" t="s">
        <v>73</v>
      </c>
      <c r="C17" s="8" t="s">
        <v>173</v>
      </c>
      <c r="D17" s="8" t="s">
        <v>128</v>
      </c>
      <c r="E17" s="8" t="s">
        <v>179</v>
      </c>
      <c r="F17" s="8" t="s">
        <v>180</v>
      </c>
      <c r="G17" s="8" t="s">
        <v>43</v>
      </c>
      <c r="H17" s="8" t="s">
        <v>181</v>
      </c>
      <c r="I17" s="8" t="s">
        <v>112</v>
      </c>
      <c r="J17" s="8" t="s">
        <v>5</v>
      </c>
      <c r="K17" s="8" t="s">
        <v>177</v>
      </c>
      <c r="L17" s="8" t="s">
        <v>114</v>
      </c>
      <c r="M17" s="8" t="s">
        <v>115</v>
      </c>
      <c r="N17" s="8" t="n">
        <v>0.3</v>
      </c>
      <c r="O17" s="8" t="s">
        <v>116</v>
      </c>
    </row>
    <row r="18" customFormat="false" ht="43.25" hidden="false" customHeight="false" outlineLevel="0" collapsed="false">
      <c r="A18" s="8" t="s">
        <v>182</v>
      </c>
      <c r="B18" s="8" t="s">
        <v>74</v>
      </c>
      <c r="C18" s="8" t="s">
        <v>183</v>
      </c>
      <c r="D18" s="8" t="s">
        <v>184</v>
      </c>
      <c r="E18" s="8" t="s">
        <v>185</v>
      </c>
      <c r="F18" s="8" t="s">
        <v>186</v>
      </c>
      <c r="G18" s="8" t="s">
        <v>187</v>
      </c>
      <c r="H18" s="8" t="s">
        <v>188</v>
      </c>
      <c r="I18" s="8" t="s">
        <v>112</v>
      </c>
      <c r="J18" s="8" t="s">
        <v>5</v>
      </c>
      <c r="K18" s="8" t="s">
        <v>189</v>
      </c>
      <c r="L18" s="8" t="s">
        <v>114</v>
      </c>
      <c r="M18" s="8" t="s">
        <v>115</v>
      </c>
      <c r="N18" s="8" t="n">
        <v>50.6</v>
      </c>
      <c r="O18" s="8" t="s">
        <v>116</v>
      </c>
    </row>
    <row r="19" customFormat="false" ht="22.35" hidden="false" customHeight="false" outlineLevel="0" collapsed="false">
      <c r="A19" s="8" t="s">
        <v>190</v>
      </c>
      <c r="B19" s="8" t="s">
        <v>74</v>
      </c>
      <c r="C19" s="8" t="s">
        <v>183</v>
      </c>
      <c r="D19" s="8" t="s">
        <v>184</v>
      </c>
      <c r="E19" s="8" t="s">
        <v>191</v>
      </c>
      <c r="F19" s="8" t="s">
        <v>192</v>
      </c>
      <c r="G19" s="8" t="s">
        <v>43</v>
      </c>
      <c r="H19" s="8" t="s">
        <v>193</v>
      </c>
      <c r="I19" s="8" t="s">
        <v>112</v>
      </c>
      <c r="J19" s="8" t="s">
        <v>5</v>
      </c>
      <c r="K19" s="8" t="s">
        <v>189</v>
      </c>
      <c r="L19" s="8" t="s">
        <v>114</v>
      </c>
      <c r="M19" s="8" t="s">
        <v>115</v>
      </c>
      <c r="N19" s="8" t="n">
        <v>6</v>
      </c>
      <c r="O19" s="8" t="s">
        <v>116</v>
      </c>
    </row>
    <row r="20" customFormat="false" ht="22.35" hidden="false" customHeight="false" outlineLevel="0" collapsed="false">
      <c r="A20" s="8" t="s">
        <v>194</v>
      </c>
      <c r="B20" s="8" t="s">
        <v>74</v>
      </c>
      <c r="C20" s="8" t="s">
        <v>183</v>
      </c>
      <c r="D20" s="8" t="s">
        <v>184</v>
      </c>
      <c r="E20" s="8" t="s">
        <v>195</v>
      </c>
      <c r="F20" s="8" t="s">
        <v>43</v>
      </c>
      <c r="G20" s="8" t="s">
        <v>196</v>
      </c>
      <c r="H20" s="8" t="s">
        <v>197</v>
      </c>
      <c r="I20" s="8" t="s">
        <v>112</v>
      </c>
      <c r="J20" s="8" t="s">
        <v>5</v>
      </c>
      <c r="K20" s="8" t="s">
        <v>189</v>
      </c>
      <c r="L20" s="8" t="s">
        <v>114</v>
      </c>
      <c r="M20" s="8" t="s">
        <v>115</v>
      </c>
      <c r="N20" s="8" t="n">
        <v>4</v>
      </c>
      <c r="O20" s="8" t="s">
        <v>116</v>
      </c>
    </row>
    <row r="21" customFormat="false" ht="231.3" hidden="false" customHeight="false" outlineLevel="0" collapsed="false">
      <c r="A21" s="8" t="s">
        <v>198</v>
      </c>
      <c r="B21" s="8" t="s">
        <v>74</v>
      </c>
      <c r="C21" s="8" t="s">
        <v>199</v>
      </c>
      <c r="D21" s="8" t="s">
        <v>128</v>
      </c>
      <c r="E21" s="8" t="s">
        <v>200</v>
      </c>
      <c r="F21" s="8" t="s">
        <v>201</v>
      </c>
      <c r="G21" s="8" t="s">
        <v>43</v>
      </c>
      <c r="H21" s="8" t="s">
        <v>202</v>
      </c>
      <c r="I21" s="8" t="s">
        <v>112</v>
      </c>
      <c r="J21" s="8" t="s">
        <v>5</v>
      </c>
      <c r="K21" s="8" t="s">
        <v>203</v>
      </c>
      <c r="L21" s="8" t="s">
        <v>114</v>
      </c>
      <c r="M21" s="8" t="s">
        <v>115</v>
      </c>
      <c r="N21" s="8" t="n">
        <v>9.6</v>
      </c>
      <c r="O21" s="8" t="s">
        <v>116</v>
      </c>
    </row>
    <row r="22" customFormat="false" ht="22.35" hidden="false" customHeight="false" outlineLevel="0" collapsed="false">
      <c r="A22" s="8" t="s">
        <v>204</v>
      </c>
      <c r="B22" s="8" t="s">
        <v>74</v>
      </c>
      <c r="C22" s="8" t="s">
        <v>205</v>
      </c>
      <c r="D22" s="8" t="s">
        <v>206</v>
      </c>
      <c r="E22" s="8" t="s">
        <v>207</v>
      </c>
      <c r="F22" s="8" t="s">
        <v>208</v>
      </c>
      <c r="G22" s="8" t="s">
        <v>209</v>
      </c>
      <c r="H22" s="8" t="s">
        <v>210</v>
      </c>
      <c r="I22" s="8" t="s">
        <v>112</v>
      </c>
      <c r="J22" s="8" t="s">
        <v>5</v>
      </c>
      <c r="K22" s="8" t="s">
        <v>211</v>
      </c>
      <c r="L22" s="8" t="s">
        <v>114</v>
      </c>
      <c r="M22" s="8" t="s">
        <v>115</v>
      </c>
      <c r="N22" s="8" t="n">
        <v>52.7</v>
      </c>
      <c r="O22" s="8" t="s">
        <v>116</v>
      </c>
    </row>
    <row r="23" customFormat="false" ht="22.35" hidden="false" customHeight="false" outlineLevel="0" collapsed="false">
      <c r="A23" s="8" t="s">
        <v>212</v>
      </c>
      <c r="B23" s="8" t="s">
        <v>74</v>
      </c>
      <c r="C23" s="8" t="s">
        <v>205</v>
      </c>
      <c r="D23" s="8" t="s">
        <v>206</v>
      </c>
      <c r="E23" s="8" t="s">
        <v>213</v>
      </c>
      <c r="F23" s="8" t="s">
        <v>43</v>
      </c>
      <c r="G23" s="8" t="s">
        <v>214</v>
      </c>
      <c r="H23" s="8" t="s">
        <v>215</v>
      </c>
      <c r="I23" s="8" t="s">
        <v>112</v>
      </c>
      <c r="J23" s="8" t="s">
        <v>5</v>
      </c>
      <c r="K23" s="8" t="s">
        <v>211</v>
      </c>
      <c r="L23" s="8" t="s">
        <v>114</v>
      </c>
      <c r="M23" s="8" t="s">
        <v>115</v>
      </c>
      <c r="N23" s="8" t="n">
        <v>8.9</v>
      </c>
      <c r="O23" s="8" t="s">
        <v>116</v>
      </c>
    </row>
    <row r="24" customFormat="false" ht="43.25" hidden="false" customHeight="false" outlineLevel="0" collapsed="false">
      <c r="A24" s="8" t="s">
        <v>216</v>
      </c>
      <c r="B24" s="8" t="s">
        <v>74</v>
      </c>
      <c r="C24" s="8" t="s">
        <v>217</v>
      </c>
      <c r="D24" s="8" t="s">
        <v>218</v>
      </c>
      <c r="E24" s="8" t="s">
        <v>219</v>
      </c>
      <c r="F24" s="8" t="s">
        <v>220</v>
      </c>
      <c r="G24" s="8" t="s">
        <v>221</v>
      </c>
      <c r="H24" s="8" t="s">
        <v>222</v>
      </c>
      <c r="I24" s="8" t="s">
        <v>112</v>
      </c>
      <c r="J24" s="8" t="s">
        <v>5</v>
      </c>
      <c r="K24" s="8" t="s">
        <v>223</v>
      </c>
      <c r="L24" s="8" t="s">
        <v>114</v>
      </c>
      <c r="M24" s="8" t="s">
        <v>115</v>
      </c>
      <c r="N24" s="8" t="n">
        <v>31.5</v>
      </c>
      <c r="O24" s="8" t="s">
        <v>116</v>
      </c>
    </row>
    <row r="25" customFormat="false" ht="64.15" hidden="false" customHeight="false" outlineLevel="0" collapsed="false">
      <c r="A25" s="8" t="s">
        <v>224</v>
      </c>
      <c r="B25" s="8" t="s">
        <v>74</v>
      </c>
      <c r="C25" s="8" t="s">
        <v>225</v>
      </c>
      <c r="D25" s="8" t="s">
        <v>128</v>
      </c>
      <c r="E25" s="8" t="s">
        <v>226</v>
      </c>
      <c r="F25" s="8" t="s">
        <v>227</v>
      </c>
      <c r="G25" s="8" t="s">
        <v>228</v>
      </c>
      <c r="H25" s="8" t="s">
        <v>229</v>
      </c>
      <c r="I25" s="8" t="s">
        <v>112</v>
      </c>
      <c r="J25" s="8" t="s">
        <v>5</v>
      </c>
      <c r="K25" s="8" t="s">
        <v>230</v>
      </c>
      <c r="L25" s="8" t="s">
        <v>231</v>
      </c>
      <c r="M25" s="8" t="s">
        <v>115</v>
      </c>
      <c r="N25" s="8" t="n">
        <v>61.9</v>
      </c>
      <c r="O25" s="8" t="s">
        <v>116</v>
      </c>
    </row>
    <row r="26" customFormat="false" ht="64.15" hidden="false" customHeight="false" outlineLevel="0" collapsed="false">
      <c r="A26" s="8" t="s">
        <v>232</v>
      </c>
      <c r="B26" s="8" t="s">
        <v>75</v>
      </c>
      <c r="C26" s="8" t="s">
        <v>233</v>
      </c>
      <c r="D26" s="8" t="s">
        <v>234</v>
      </c>
      <c r="E26" s="8" t="s">
        <v>235</v>
      </c>
      <c r="F26" s="8" t="s">
        <v>236</v>
      </c>
      <c r="G26" s="8" t="s">
        <v>237</v>
      </c>
      <c r="H26" s="8" t="s">
        <v>238</v>
      </c>
      <c r="I26" s="8" t="s">
        <v>112</v>
      </c>
      <c r="J26" s="8" t="s">
        <v>5</v>
      </c>
      <c r="K26" s="8" t="s">
        <v>239</v>
      </c>
      <c r="L26" s="8" t="s">
        <v>114</v>
      </c>
      <c r="M26" s="8" t="s">
        <v>115</v>
      </c>
      <c r="N26" s="8" t="n">
        <v>1.3</v>
      </c>
      <c r="O26" s="8" t="s">
        <v>116</v>
      </c>
    </row>
    <row r="27" customFormat="false" ht="32.8" hidden="false" customHeight="false" outlineLevel="0" collapsed="false">
      <c r="A27" s="8" t="s">
        <v>240</v>
      </c>
      <c r="B27" s="8" t="s">
        <v>75</v>
      </c>
      <c r="C27" s="8" t="s">
        <v>233</v>
      </c>
      <c r="D27" s="8" t="s">
        <v>234</v>
      </c>
      <c r="E27" s="8" t="s">
        <v>241</v>
      </c>
      <c r="F27" s="8" t="s">
        <v>242</v>
      </c>
      <c r="G27" s="8" t="s">
        <v>243</v>
      </c>
      <c r="H27" s="8" t="s">
        <v>244</v>
      </c>
      <c r="I27" s="8" t="s">
        <v>112</v>
      </c>
      <c r="J27" s="8" t="s">
        <v>5</v>
      </c>
      <c r="K27" s="8" t="s">
        <v>239</v>
      </c>
      <c r="L27" s="8" t="s">
        <v>114</v>
      </c>
      <c r="M27" s="8" t="s">
        <v>115</v>
      </c>
      <c r="N27" s="8" t="n">
        <v>1.6</v>
      </c>
      <c r="O27" s="8" t="s">
        <v>116</v>
      </c>
    </row>
    <row r="28" customFormat="false" ht="22.35" hidden="false" customHeight="false" outlineLevel="0" collapsed="false">
      <c r="A28" s="8" t="s">
        <v>245</v>
      </c>
      <c r="B28" s="8" t="s">
        <v>75</v>
      </c>
      <c r="C28" s="8" t="s">
        <v>246</v>
      </c>
      <c r="D28" s="8" t="s">
        <v>247</v>
      </c>
      <c r="E28" s="8" t="s">
        <v>248</v>
      </c>
      <c r="F28" s="8" t="s">
        <v>249</v>
      </c>
      <c r="G28" s="8" t="s">
        <v>250</v>
      </c>
      <c r="H28" s="8" t="s">
        <v>251</v>
      </c>
      <c r="I28" s="8" t="s">
        <v>112</v>
      </c>
      <c r="J28" s="8" t="s">
        <v>5</v>
      </c>
      <c r="K28" s="8" t="s">
        <v>252</v>
      </c>
      <c r="L28" s="8" t="s">
        <v>114</v>
      </c>
      <c r="M28" s="8" t="s">
        <v>115</v>
      </c>
      <c r="N28" s="8" t="n">
        <v>0.4</v>
      </c>
      <c r="O28" s="8" t="s">
        <v>116</v>
      </c>
    </row>
    <row r="29" customFormat="false" ht="22.35" hidden="false" customHeight="false" outlineLevel="0" collapsed="false">
      <c r="A29" s="8" t="s">
        <v>253</v>
      </c>
      <c r="B29" s="8" t="s">
        <v>75</v>
      </c>
      <c r="C29" s="8" t="s">
        <v>246</v>
      </c>
      <c r="D29" s="8" t="s">
        <v>247</v>
      </c>
      <c r="E29" s="8" t="s">
        <v>254</v>
      </c>
      <c r="F29" s="8" t="s">
        <v>255</v>
      </c>
      <c r="G29" s="8" t="s">
        <v>256</v>
      </c>
      <c r="H29" s="8" t="s">
        <v>257</v>
      </c>
      <c r="I29" s="8" t="s">
        <v>112</v>
      </c>
      <c r="J29" s="8" t="s">
        <v>5</v>
      </c>
      <c r="K29" s="8" t="s">
        <v>252</v>
      </c>
      <c r="L29" s="8" t="s">
        <v>114</v>
      </c>
      <c r="M29" s="8" t="s">
        <v>115</v>
      </c>
      <c r="N29" s="8" t="n">
        <v>0.3</v>
      </c>
      <c r="O29" s="8" t="s">
        <v>116</v>
      </c>
    </row>
    <row r="30" customFormat="false" ht="22.35" hidden="false" customHeight="false" outlineLevel="0" collapsed="false">
      <c r="A30" s="8" t="s">
        <v>258</v>
      </c>
      <c r="B30" s="8" t="s">
        <v>75</v>
      </c>
      <c r="C30" s="8" t="s">
        <v>246</v>
      </c>
      <c r="D30" s="8" t="s">
        <v>247</v>
      </c>
      <c r="E30" s="8" t="s">
        <v>259</v>
      </c>
      <c r="F30" s="8" t="s">
        <v>260</v>
      </c>
      <c r="G30" s="8" t="s">
        <v>43</v>
      </c>
      <c r="H30" s="8" t="s">
        <v>261</v>
      </c>
      <c r="I30" s="8" t="s">
        <v>112</v>
      </c>
      <c r="J30" s="8" t="s">
        <v>5</v>
      </c>
      <c r="K30" s="8" t="s">
        <v>252</v>
      </c>
      <c r="L30" s="8" t="s">
        <v>114</v>
      </c>
      <c r="M30" s="8" t="s">
        <v>115</v>
      </c>
      <c r="N30" s="8" t="n">
        <v>0.1</v>
      </c>
      <c r="O30" s="8" t="s">
        <v>116</v>
      </c>
    </row>
    <row r="31" customFormat="false" ht="32.8" hidden="false" customHeight="false" outlineLevel="0" collapsed="false">
      <c r="A31" s="8" t="s">
        <v>262</v>
      </c>
      <c r="B31" s="8" t="s">
        <v>75</v>
      </c>
      <c r="C31" s="8" t="s">
        <v>263</v>
      </c>
      <c r="D31" s="8" t="s">
        <v>247</v>
      </c>
      <c r="E31" s="8" t="s">
        <v>264</v>
      </c>
      <c r="F31" s="8" t="s">
        <v>265</v>
      </c>
      <c r="G31" s="8" t="s">
        <v>266</v>
      </c>
      <c r="H31" s="8" t="s">
        <v>267</v>
      </c>
      <c r="I31" s="8" t="s">
        <v>112</v>
      </c>
      <c r="J31" s="8" t="s">
        <v>5</v>
      </c>
      <c r="K31" s="8" t="s">
        <v>268</v>
      </c>
      <c r="L31" s="8" t="s">
        <v>114</v>
      </c>
      <c r="M31" s="8" t="s">
        <v>115</v>
      </c>
      <c r="N31" s="8" t="n">
        <v>6.5</v>
      </c>
      <c r="O31" s="8" t="s">
        <v>116</v>
      </c>
    </row>
    <row r="32" customFormat="false" ht="22.35" hidden="false" customHeight="false" outlineLevel="0" collapsed="false">
      <c r="A32" s="8" t="s">
        <v>269</v>
      </c>
      <c r="B32" s="8" t="s">
        <v>75</v>
      </c>
      <c r="C32" s="8" t="s">
        <v>263</v>
      </c>
      <c r="D32" s="8" t="s">
        <v>247</v>
      </c>
      <c r="E32" s="8" t="s">
        <v>270</v>
      </c>
      <c r="F32" s="8" t="s">
        <v>271</v>
      </c>
      <c r="G32" s="8" t="s">
        <v>43</v>
      </c>
      <c r="H32" s="8" t="s">
        <v>272</v>
      </c>
      <c r="I32" s="8" t="s">
        <v>112</v>
      </c>
      <c r="J32" s="8" t="s">
        <v>5</v>
      </c>
      <c r="K32" s="8" t="s">
        <v>268</v>
      </c>
      <c r="L32" s="8" t="s">
        <v>114</v>
      </c>
      <c r="M32" s="8" t="s">
        <v>115</v>
      </c>
      <c r="N32" s="8" t="n">
        <v>0.3</v>
      </c>
      <c r="O32" s="8" t="s">
        <v>116</v>
      </c>
    </row>
    <row r="33" customFormat="false" ht="32.8" hidden="false" customHeight="false" outlineLevel="0" collapsed="false">
      <c r="A33" s="8" t="s">
        <v>273</v>
      </c>
      <c r="B33" s="8" t="s">
        <v>75</v>
      </c>
      <c r="C33" s="8" t="s">
        <v>274</v>
      </c>
      <c r="D33" s="8" t="s">
        <v>218</v>
      </c>
      <c r="E33" s="8" t="s">
        <v>275</v>
      </c>
      <c r="F33" s="8" t="s">
        <v>276</v>
      </c>
      <c r="G33" s="8" t="s">
        <v>277</v>
      </c>
      <c r="H33" s="8" t="s">
        <v>278</v>
      </c>
      <c r="I33" s="8" t="s">
        <v>112</v>
      </c>
      <c r="J33" s="8" t="s">
        <v>5</v>
      </c>
      <c r="K33" s="8" t="s">
        <v>279</v>
      </c>
      <c r="L33" s="8" t="s">
        <v>114</v>
      </c>
      <c r="M33" s="8" t="s">
        <v>115</v>
      </c>
      <c r="N33" s="8" t="n">
        <v>0.2</v>
      </c>
      <c r="O33" s="8" t="s">
        <v>116</v>
      </c>
    </row>
    <row r="34" customFormat="false" ht="43.25" hidden="false" customHeight="false" outlineLevel="0" collapsed="false">
      <c r="A34" s="8" t="s">
        <v>280</v>
      </c>
      <c r="B34" s="8" t="s">
        <v>75</v>
      </c>
      <c r="C34" s="8" t="s">
        <v>281</v>
      </c>
      <c r="D34" s="8" t="s">
        <v>282</v>
      </c>
      <c r="E34" s="8" t="s">
        <v>283</v>
      </c>
      <c r="F34" s="8" t="s">
        <v>284</v>
      </c>
      <c r="G34" s="8" t="s">
        <v>285</v>
      </c>
      <c r="H34" s="8" t="s">
        <v>286</v>
      </c>
      <c r="I34" s="8" t="s">
        <v>112</v>
      </c>
      <c r="J34" s="8" t="s">
        <v>5</v>
      </c>
      <c r="K34" s="8" t="s">
        <v>287</v>
      </c>
      <c r="L34" s="8" t="s">
        <v>114</v>
      </c>
      <c r="M34" s="8" t="s">
        <v>115</v>
      </c>
      <c r="N34" s="8" t="n">
        <v>0.7</v>
      </c>
      <c r="O34" s="8" t="s">
        <v>116</v>
      </c>
    </row>
    <row r="35" customFormat="false" ht="64.15" hidden="false" customHeight="false" outlineLevel="0" collapsed="false">
      <c r="A35" s="8" t="s">
        <v>288</v>
      </c>
      <c r="B35" s="8" t="s">
        <v>76</v>
      </c>
      <c r="C35" s="8" t="s">
        <v>289</v>
      </c>
      <c r="D35" s="8" t="s">
        <v>290</v>
      </c>
      <c r="E35" s="8" t="s">
        <v>291</v>
      </c>
      <c r="F35" s="8" t="s">
        <v>292</v>
      </c>
      <c r="G35" s="8" t="s">
        <v>237</v>
      </c>
      <c r="H35" s="8" t="s">
        <v>293</v>
      </c>
      <c r="I35" s="8" t="s">
        <v>112</v>
      </c>
      <c r="J35" s="8" t="s">
        <v>5</v>
      </c>
      <c r="K35" s="8" t="s">
        <v>294</v>
      </c>
      <c r="L35" s="8" t="s">
        <v>114</v>
      </c>
      <c r="M35" s="8" t="s">
        <v>115</v>
      </c>
      <c r="N35" s="8" t="n">
        <v>0.5</v>
      </c>
      <c r="O35" s="8" t="s">
        <v>116</v>
      </c>
    </row>
    <row r="36" customFormat="false" ht="32.8" hidden="false" customHeight="false" outlineLevel="0" collapsed="false">
      <c r="A36" s="8" t="s">
        <v>295</v>
      </c>
      <c r="B36" s="8" t="s">
        <v>76</v>
      </c>
      <c r="C36" s="8" t="s">
        <v>289</v>
      </c>
      <c r="D36" s="8" t="s">
        <v>290</v>
      </c>
      <c r="E36" s="8" t="s">
        <v>296</v>
      </c>
      <c r="F36" s="8" t="s">
        <v>297</v>
      </c>
      <c r="G36" s="8" t="s">
        <v>43</v>
      </c>
      <c r="H36" s="8" t="s">
        <v>298</v>
      </c>
      <c r="I36" s="8" t="s">
        <v>112</v>
      </c>
      <c r="J36" s="8" t="s">
        <v>5</v>
      </c>
      <c r="K36" s="8" t="s">
        <v>294</v>
      </c>
      <c r="L36" s="8" t="s">
        <v>114</v>
      </c>
      <c r="M36" s="8" t="s">
        <v>115</v>
      </c>
      <c r="N36" s="8" t="n">
        <v>0.3</v>
      </c>
      <c r="O36" s="8" t="s">
        <v>116</v>
      </c>
    </row>
    <row r="37" customFormat="false" ht="64.15" hidden="false" customHeight="false" outlineLevel="0" collapsed="false">
      <c r="A37" s="8" t="s">
        <v>299</v>
      </c>
      <c r="B37" s="8" t="s">
        <v>76</v>
      </c>
      <c r="C37" s="8" t="s">
        <v>300</v>
      </c>
      <c r="D37" s="8" t="s">
        <v>301</v>
      </c>
      <c r="E37" s="8" t="s">
        <v>302</v>
      </c>
      <c r="F37" s="8" t="s">
        <v>303</v>
      </c>
      <c r="G37" s="8" t="s">
        <v>304</v>
      </c>
      <c r="H37" s="8" t="s">
        <v>305</v>
      </c>
      <c r="I37" s="8" t="s">
        <v>112</v>
      </c>
      <c r="J37" s="8" t="s">
        <v>5</v>
      </c>
      <c r="K37" s="8" t="s">
        <v>306</v>
      </c>
      <c r="L37" s="8" t="s">
        <v>114</v>
      </c>
      <c r="M37" s="8" t="s">
        <v>115</v>
      </c>
      <c r="N37" s="8" t="n">
        <v>13.5</v>
      </c>
      <c r="O37" s="8" t="s">
        <v>116</v>
      </c>
    </row>
    <row r="38" customFormat="false" ht="64.15" hidden="false" customHeight="false" outlineLevel="0" collapsed="false">
      <c r="A38" s="8" t="s">
        <v>307</v>
      </c>
      <c r="B38" s="8" t="s">
        <v>76</v>
      </c>
      <c r="C38" s="8" t="s">
        <v>308</v>
      </c>
      <c r="D38" s="8" t="s">
        <v>309</v>
      </c>
      <c r="E38" s="8" t="s">
        <v>310</v>
      </c>
      <c r="F38" s="8" t="s">
        <v>311</v>
      </c>
      <c r="G38" s="8" t="s">
        <v>312</v>
      </c>
      <c r="H38" s="8" t="s">
        <v>313</v>
      </c>
      <c r="I38" s="8" t="s">
        <v>112</v>
      </c>
      <c r="J38" s="8" t="s">
        <v>5</v>
      </c>
      <c r="K38" s="8" t="s">
        <v>314</v>
      </c>
      <c r="L38" s="8" t="s">
        <v>114</v>
      </c>
      <c r="M38" s="8" t="s">
        <v>115</v>
      </c>
      <c r="N38" s="8" t="n">
        <v>0.4</v>
      </c>
      <c r="O38" s="8" t="s">
        <v>116</v>
      </c>
    </row>
    <row r="39" customFormat="false" ht="32.8" hidden="false" customHeight="false" outlineLevel="0" collapsed="false">
      <c r="A39" s="8" t="s">
        <v>315</v>
      </c>
      <c r="B39" s="8" t="s">
        <v>76</v>
      </c>
      <c r="C39" s="8" t="s">
        <v>316</v>
      </c>
      <c r="D39" s="8" t="s">
        <v>317</v>
      </c>
      <c r="E39" s="8" t="s">
        <v>318</v>
      </c>
      <c r="F39" s="8" t="s">
        <v>319</v>
      </c>
      <c r="G39" s="8" t="s">
        <v>320</v>
      </c>
      <c r="H39" s="8" t="s">
        <v>321</v>
      </c>
      <c r="I39" s="8" t="s">
        <v>112</v>
      </c>
      <c r="J39" s="8" t="s">
        <v>5</v>
      </c>
      <c r="K39" s="8" t="s">
        <v>322</v>
      </c>
      <c r="L39" s="8" t="s">
        <v>231</v>
      </c>
      <c r="M39" s="8" t="s">
        <v>115</v>
      </c>
      <c r="N39" s="8" t="n">
        <v>3.7</v>
      </c>
      <c r="O39" s="8" t="s">
        <v>116</v>
      </c>
    </row>
    <row r="40" customFormat="false" ht="32.8" hidden="false" customHeight="false" outlineLevel="0" collapsed="false">
      <c r="A40" s="8" t="s">
        <v>323</v>
      </c>
      <c r="B40" s="8" t="s">
        <v>76</v>
      </c>
      <c r="C40" s="8" t="s">
        <v>316</v>
      </c>
      <c r="D40" s="8" t="s">
        <v>317</v>
      </c>
      <c r="E40" s="8" t="s">
        <v>324</v>
      </c>
      <c r="F40" s="8" t="s">
        <v>325</v>
      </c>
      <c r="G40" s="8" t="s">
        <v>43</v>
      </c>
      <c r="H40" s="8" t="s">
        <v>326</v>
      </c>
      <c r="I40" s="8" t="s">
        <v>112</v>
      </c>
      <c r="J40" s="8" t="s">
        <v>5</v>
      </c>
      <c r="K40" s="8" t="s">
        <v>322</v>
      </c>
      <c r="L40" s="8" t="s">
        <v>231</v>
      </c>
      <c r="M40" s="8" t="s">
        <v>115</v>
      </c>
      <c r="N40" s="8" t="n">
        <v>2.2</v>
      </c>
      <c r="O40" s="8" t="s">
        <v>116</v>
      </c>
    </row>
    <row r="41" customFormat="false" ht="32.8" hidden="false" customHeight="false" outlineLevel="0" collapsed="false">
      <c r="A41" s="8" t="s">
        <v>327</v>
      </c>
      <c r="B41" s="8" t="s">
        <v>76</v>
      </c>
      <c r="C41" s="8" t="s">
        <v>328</v>
      </c>
      <c r="D41" s="8" t="s">
        <v>329</v>
      </c>
      <c r="E41" s="8" t="s">
        <v>330</v>
      </c>
      <c r="F41" s="8" t="s">
        <v>331</v>
      </c>
      <c r="G41" s="8" t="s">
        <v>332</v>
      </c>
      <c r="H41" s="8" t="s">
        <v>333</v>
      </c>
      <c r="I41" s="8" t="s">
        <v>112</v>
      </c>
      <c r="J41" s="8" t="s">
        <v>5</v>
      </c>
      <c r="K41" s="8" t="s">
        <v>334</v>
      </c>
      <c r="L41" s="8" t="s">
        <v>231</v>
      </c>
      <c r="M41" s="8" t="s">
        <v>115</v>
      </c>
      <c r="N41" s="8" t="n">
        <v>2.2</v>
      </c>
      <c r="O41" s="8" t="s">
        <v>116</v>
      </c>
    </row>
    <row r="42" customFormat="false" ht="32.8" hidden="false" customHeight="false" outlineLevel="0" collapsed="false">
      <c r="A42" s="8" t="s">
        <v>335</v>
      </c>
      <c r="B42" s="8" t="s">
        <v>76</v>
      </c>
      <c r="C42" s="8" t="s">
        <v>336</v>
      </c>
      <c r="D42" s="8" t="s">
        <v>128</v>
      </c>
      <c r="E42" s="8" t="s">
        <v>337</v>
      </c>
      <c r="F42" s="8" t="s">
        <v>338</v>
      </c>
      <c r="G42" s="8" t="s">
        <v>339</v>
      </c>
      <c r="H42" s="8" t="s">
        <v>340</v>
      </c>
      <c r="I42" s="8" t="s">
        <v>112</v>
      </c>
      <c r="J42" s="8" t="s">
        <v>5</v>
      </c>
      <c r="K42" s="8" t="s">
        <v>341</v>
      </c>
      <c r="L42" s="8" t="s">
        <v>231</v>
      </c>
      <c r="M42" s="8" t="s">
        <v>115</v>
      </c>
      <c r="N42" s="8" t="n">
        <v>12.6</v>
      </c>
      <c r="O42" s="8" t="s">
        <v>116</v>
      </c>
    </row>
    <row r="43" customFormat="false" ht="53.7" hidden="false" customHeight="false" outlineLevel="0" collapsed="false">
      <c r="A43" s="8" t="s">
        <v>342</v>
      </c>
      <c r="B43" s="8" t="s">
        <v>77</v>
      </c>
      <c r="C43" s="8" t="s">
        <v>343</v>
      </c>
      <c r="D43" s="8" t="s">
        <v>218</v>
      </c>
      <c r="E43" s="8" t="s">
        <v>344</v>
      </c>
      <c r="F43" s="8" t="s">
        <v>43</v>
      </c>
      <c r="G43" s="8" t="s">
        <v>345</v>
      </c>
      <c r="H43" s="8" t="s">
        <v>346</v>
      </c>
      <c r="I43" s="8" t="s">
        <v>112</v>
      </c>
      <c r="J43" s="8" t="s">
        <v>5</v>
      </c>
      <c r="K43" s="8" t="s">
        <v>347</v>
      </c>
      <c r="L43" s="8" t="s">
        <v>114</v>
      </c>
      <c r="M43" s="8" t="s">
        <v>348</v>
      </c>
      <c r="N43" s="8" t="n">
        <v>1102.7</v>
      </c>
      <c r="O43" s="8" t="s">
        <v>116</v>
      </c>
    </row>
    <row r="44" customFormat="false" ht="22.35" hidden="false" customHeight="false" outlineLevel="0" collapsed="false">
      <c r="A44" s="8" t="s">
        <v>349</v>
      </c>
      <c r="B44" s="8" t="s">
        <v>77</v>
      </c>
      <c r="C44" s="8" t="s">
        <v>350</v>
      </c>
      <c r="D44" s="8" t="s">
        <v>218</v>
      </c>
      <c r="E44" s="8" t="s">
        <v>351</v>
      </c>
      <c r="F44" s="8" t="s">
        <v>352</v>
      </c>
      <c r="G44" s="8" t="s">
        <v>353</v>
      </c>
      <c r="H44" s="8" t="s">
        <v>354</v>
      </c>
      <c r="I44" s="8" t="s">
        <v>112</v>
      </c>
      <c r="J44" s="8" t="s">
        <v>5</v>
      </c>
      <c r="K44" s="8" t="s">
        <v>355</v>
      </c>
      <c r="L44" s="8" t="s">
        <v>114</v>
      </c>
      <c r="M44" s="8" t="s">
        <v>348</v>
      </c>
      <c r="N44" s="8" t="n">
        <v>23.4</v>
      </c>
      <c r="O44" s="8" t="s">
        <v>116</v>
      </c>
    </row>
    <row r="45" customFormat="false" ht="43.25" hidden="false" customHeight="false" outlineLevel="0" collapsed="false">
      <c r="A45" s="8" t="s">
        <v>356</v>
      </c>
      <c r="B45" s="8" t="s">
        <v>77</v>
      </c>
      <c r="C45" s="8" t="s">
        <v>350</v>
      </c>
      <c r="D45" s="8" t="s">
        <v>218</v>
      </c>
      <c r="E45" s="8" t="s">
        <v>357</v>
      </c>
      <c r="F45" s="8" t="s">
        <v>43</v>
      </c>
      <c r="G45" s="8" t="s">
        <v>358</v>
      </c>
      <c r="H45" s="8" t="s">
        <v>359</v>
      </c>
      <c r="I45" s="8" t="s">
        <v>112</v>
      </c>
      <c r="J45" s="8" t="s">
        <v>5</v>
      </c>
      <c r="K45" s="8" t="s">
        <v>355</v>
      </c>
      <c r="L45" s="8" t="s">
        <v>114</v>
      </c>
      <c r="M45" s="8" t="s">
        <v>348</v>
      </c>
      <c r="N45" s="8" t="n">
        <v>20.6</v>
      </c>
      <c r="O45" s="8" t="s">
        <v>116</v>
      </c>
    </row>
    <row r="46" customFormat="false" ht="22.35" hidden="false" customHeight="false" outlineLevel="0" collapsed="false">
      <c r="A46" s="8" t="s">
        <v>360</v>
      </c>
      <c r="B46" s="8" t="s">
        <v>77</v>
      </c>
      <c r="C46" s="8" t="s">
        <v>350</v>
      </c>
      <c r="D46" s="8" t="s">
        <v>218</v>
      </c>
      <c r="E46" s="8" t="s">
        <v>361</v>
      </c>
      <c r="F46" s="8" t="s">
        <v>43</v>
      </c>
      <c r="G46" s="8" t="s">
        <v>362</v>
      </c>
      <c r="H46" s="8" t="s">
        <v>363</v>
      </c>
      <c r="I46" s="8" t="s">
        <v>112</v>
      </c>
      <c r="J46" s="8" t="s">
        <v>5</v>
      </c>
      <c r="K46" s="8" t="s">
        <v>355</v>
      </c>
      <c r="L46" s="8" t="s">
        <v>114</v>
      </c>
      <c r="M46" s="8" t="s">
        <v>348</v>
      </c>
      <c r="N46" s="8" t="n">
        <v>23.7</v>
      </c>
      <c r="O46" s="8" t="s">
        <v>116</v>
      </c>
    </row>
    <row r="47" customFormat="false" ht="64.15" hidden="false" customHeight="false" outlineLevel="0" collapsed="false">
      <c r="A47" s="8" t="s">
        <v>364</v>
      </c>
      <c r="B47" s="8" t="s">
        <v>77</v>
      </c>
      <c r="C47" s="8" t="s">
        <v>365</v>
      </c>
      <c r="D47" s="8" t="s">
        <v>366</v>
      </c>
      <c r="E47" s="8" t="s">
        <v>367</v>
      </c>
      <c r="F47" s="8" t="s">
        <v>368</v>
      </c>
      <c r="G47" s="8" t="s">
        <v>369</v>
      </c>
      <c r="H47" s="8" t="s">
        <v>370</v>
      </c>
      <c r="I47" s="8" t="s">
        <v>112</v>
      </c>
      <c r="J47" s="8" t="s">
        <v>5</v>
      </c>
      <c r="K47" s="8" t="s">
        <v>371</v>
      </c>
      <c r="L47" s="8" t="s">
        <v>114</v>
      </c>
      <c r="M47" s="8" t="s">
        <v>348</v>
      </c>
      <c r="N47" s="8" t="n">
        <v>13.6</v>
      </c>
      <c r="O47" s="8" t="s">
        <v>116</v>
      </c>
    </row>
    <row r="48" customFormat="false" ht="43.25" hidden="false" customHeight="false" outlineLevel="0" collapsed="false">
      <c r="A48" s="8" t="s">
        <v>372</v>
      </c>
      <c r="B48" s="8" t="s">
        <v>77</v>
      </c>
      <c r="C48" s="8" t="s">
        <v>373</v>
      </c>
      <c r="D48" s="8" t="s">
        <v>374</v>
      </c>
      <c r="E48" s="8" t="s">
        <v>375</v>
      </c>
      <c r="F48" s="8" t="s">
        <v>43</v>
      </c>
      <c r="G48" s="8" t="s">
        <v>376</v>
      </c>
      <c r="H48" s="8" t="s">
        <v>377</v>
      </c>
      <c r="I48" s="8" t="s">
        <v>112</v>
      </c>
      <c r="J48" s="8" t="s">
        <v>5</v>
      </c>
      <c r="K48" s="8" t="s">
        <v>378</v>
      </c>
      <c r="L48" s="8" t="s">
        <v>114</v>
      </c>
      <c r="M48" s="8" t="s">
        <v>348</v>
      </c>
      <c r="N48" s="8" t="n">
        <v>13.7</v>
      </c>
      <c r="O48" s="8" t="s">
        <v>116</v>
      </c>
    </row>
    <row r="49" customFormat="false" ht="53.7" hidden="false" customHeight="false" outlineLevel="0" collapsed="false">
      <c r="A49" s="8" t="s">
        <v>379</v>
      </c>
      <c r="B49" s="8" t="s">
        <v>77</v>
      </c>
      <c r="C49" s="8" t="s">
        <v>380</v>
      </c>
      <c r="D49" s="8" t="s">
        <v>381</v>
      </c>
      <c r="E49" s="8" t="s">
        <v>382</v>
      </c>
      <c r="F49" s="8" t="s">
        <v>383</v>
      </c>
      <c r="G49" s="8" t="s">
        <v>384</v>
      </c>
      <c r="H49" s="8" t="s">
        <v>385</v>
      </c>
      <c r="I49" s="8" t="s">
        <v>112</v>
      </c>
      <c r="J49" s="8" t="s">
        <v>5</v>
      </c>
      <c r="K49" s="8" t="s">
        <v>386</v>
      </c>
      <c r="L49" s="8" t="s">
        <v>114</v>
      </c>
      <c r="M49" s="8" t="s">
        <v>348</v>
      </c>
      <c r="N49" s="8" t="n">
        <v>20.7</v>
      </c>
      <c r="O49" s="8" t="s">
        <v>116</v>
      </c>
    </row>
    <row r="50" customFormat="false" ht="64.15" hidden="false" customHeight="false" outlineLevel="0" collapsed="false">
      <c r="A50" s="8" t="s">
        <v>387</v>
      </c>
      <c r="B50" s="8" t="s">
        <v>77</v>
      </c>
      <c r="C50" s="8" t="s">
        <v>388</v>
      </c>
      <c r="D50" s="8" t="s">
        <v>218</v>
      </c>
      <c r="E50" s="8" t="s">
        <v>389</v>
      </c>
      <c r="F50" s="8" t="s">
        <v>43</v>
      </c>
      <c r="G50" s="8" t="s">
        <v>390</v>
      </c>
      <c r="H50" s="8" t="s">
        <v>391</v>
      </c>
      <c r="I50" s="8" t="s">
        <v>112</v>
      </c>
      <c r="J50" s="8" t="s">
        <v>5</v>
      </c>
      <c r="K50" s="8" t="s">
        <v>392</v>
      </c>
      <c r="L50" s="8" t="s">
        <v>114</v>
      </c>
      <c r="M50" s="8" t="s">
        <v>348</v>
      </c>
      <c r="N50" s="8" t="n">
        <v>11.6</v>
      </c>
      <c r="O50" s="8" t="s">
        <v>116</v>
      </c>
    </row>
    <row r="51" customFormat="false" ht="43.25" hidden="false" customHeight="false" outlineLevel="0" collapsed="false">
      <c r="A51" s="8" t="s">
        <v>393</v>
      </c>
      <c r="B51" s="8" t="s">
        <v>77</v>
      </c>
      <c r="C51" s="8" t="s">
        <v>394</v>
      </c>
      <c r="D51" s="8" t="s">
        <v>128</v>
      </c>
      <c r="E51" s="8" t="s">
        <v>395</v>
      </c>
      <c r="F51" s="8" t="s">
        <v>396</v>
      </c>
      <c r="G51" s="8" t="s">
        <v>397</v>
      </c>
      <c r="H51" s="8" t="s">
        <v>398</v>
      </c>
      <c r="I51" s="8" t="s">
        <v>112</v>
      </c>
      <c r="J51" s="8" t="s">
        <v>5</v>
      </c>
      <c r="K51" s="8" t="s">
        <v>399</v>
      </c>
      <c r="L51" s="8" t="s">
        <v>114</v>
      </c>
      <c r="M51" s="8" t="s">
        <v>348</v>
      </c>
      <c r="N51" s="8" t="n">
        <v>17.2</v>
      </c>
      <c r="O51" s="8" t="s">
        <v>116</v>
      </c>
    </row>
    <row r="52" customFormat="false" ht="43.25" hidden="false" customHeight="false" outlineLevel="0" collapsed="false">
      <c r="A52" s="8" t="s">
        <v>400</v>
      </c>
      <c r="B52" s="8" t="s">
        <v>77</v>
      </c>
      <c r="C52" s="8" t="s">
        <v>394</v>
      </c>
      <c r="D52" s="8" t="s">
        <v>128</v>
      </c>
      <c r="E52" s="8" t="s">
        <v>401</v>
      </c>
      <c r="F52" s="8" t="s">
        <v>402</v>
      </c>
      <c r="G52" s="8" t="s">
        <v>403</v>
      </c>
      <c r="H52" s="8" t="s">
        <v>404</v>
      </c>
      <c r="I52" s="8" t="s">
        <v>112</v>
      </c>
      <c r="J52" s="8" t="s">
        <v>5</v>
      </c>
      <c r="K52" s="8" t="s">
        <v>399</v>
      </c>
      <c r="L52" s="8" t="s">
        <v>114</v>
      </c>
      <c r="M52" s="8" t="s">
        <v>348</v>
      </c>
      <c r="N52" s="8" t="n">
        <v>10.5</v>
      </c>
      <c r="O52" s="8" t="s">
        <v>116</v>
      </c>
    </row>
    <row r="53" customFormat="false" ht="43.25" hidden="false" customHeight="false" outlineLevel="0" collapsed="false">
      <c r="A53" s="8" t="s">
        <v>405</v>
      </c>
      <c r="B53" s="8" t="s">
        <v>77</v>
      </c>
      <c r="C53" s="8" t="s">
        <v>406</v>
      </c>
      <c r="D53" s="8" t="s">
        <v>282</v>
      </c>
      <c r="E53" s="8" t="s">
        <v>407</v>
      </c>
      <c r="F53" s="8" t="s">
        <v>408</v>
      </c>
      <c r="G53" s="8" t="s">
        <v>409</v>
      </c>
      <c r="H53" s="8" t="s">
        <v>410</v>
      </c>
      <c r="I53" s="8" t="s">
        <v>112</v>
      </c>
      <c r="J53" s="8" t="s">
        <v>5</v>
      </c>
      <c r="K53" s="8" t="s">
        <v>411</v>
      </c>
      <c r="L53" s="8" t="s">
        <v>231</v>
      </c>
      <c r="M53" s="8" t="s">
        <v>348</v>
      </c>
      <c r="N53" s="8" t="n">
        <v>13.6</v>
      </c>
      <c r="O53" s="8" t="s">
        <v>116</v>
      </c>
    </row>
    <row r="54" customFormat="false" ht="22.35" hidden="false" customHeight="false" outlineLevel="0" collapsed="false">
      <c r="A54" s="8" t="s">
        <v>412</v>
      </c>
      <c r="B54" s="8" t="s">
        <v>77</v>
      </c>
      <c r="C54" s="8" t="s">
        <v>406</v>
      </c>
      <c r="D54" s="8" t="s">
        <v>282</v>
      </c>
      <c r="E54" s="8" t="s">
        <v>413</v>
      </c>
      <c r="F54" s="8" t="s">
        <v>43</v>
      </c>
      <c r="G54" s="8" t="s">
        <v>414</v>
      </c>
      <c r="H54" s="8" t="s">
        <v>415</v>
      </c>
      <c r="I54" s="8" t="s">
        <v>112</v>
      </c>
      <c r="J54" s="8" t="s">
        <v>5</v>
      </c>
      <c r="K54" s="8" t="s">
        <v>411</v>
      </c>
      <c r="L54" s="8" t="s">
        <v>231</v>
      </c>
      <c r="M54" s="8" t="s">
        <v>348</v>
      </c>
      <c r="N54" s="8" t="n">
        <v>8.2</v>
      </c>
      <c r="O54" s="8" t="s">
        <v>116</v>
      </c>
    </row>
    <row r="55" customFormat="false" ht="43.25" hidden="false" customHeight="false" outlineLevel="0" collapsed="false">
      <c r="A55" s="8" t="s">
        <v>416</v>
      </c>
      <c r="B55" s="8" t="s">
        <v>77</v>
      </c>
      <c r="C55" s="8" t="s">
        <v>417</v>
      </c>
      <c r="D55" s="8" t="s">
        <v>247</v>
      </c>
      <c r="E55" s="8" t="s">
        <v>418</v>
      </c>
      <c r="F55" s="8" t="s">
        <v>43</v>
      </c>
      <c r="G55" s="8" t="s">
        <v>419</v>
      </c>
      <c r="H55" s="8" t="s">
        <v>420</v>
      </c>
      <c r="I55" s="8" t="s">
        <v>112</v>
      </c>
      <c r="J55" s="8" t="s">
        <v>5</v>
      </c>
      <c r="K55" s="8" t="s">
        <v>421</v>
      </c>
      <c r="L55" s="8" t="s">
        <v>231</v>
      </c>
      <c r="M55" s="8" t="s">
        <v>348</v>
      </c>
      <c r="N55" s="8" t="n">
        <v>55.7</v>
      </c>
      <c r="O55" s="8" t="s">
        <v>116</v>
      </c>
    </row>
    <row r="56" customFormat="false" ht="85.05" hidden="false" customHeight="false" outlineLevel="0" collapsed="false">
      <c r="A56" s="8" t="s">
        <v>422</v>
      </c>
      <c r="B56" s="8" t="s">
        <v>78</v>
      </c>
      <c r="C56" s="8" t="s">
        <v>423</v>
      </c>
      <c r="D56" s="8" t="s">
        <v>184</v>
      </c>
      <c r="E56" s="8" t="s">
        <v>424</v>
      </c>
      <c r="F56" s="8" t="s">
        <v>425</v>
      </c>
      <c r="G56" s="8" t="s">
        <v>43</v>
      </c>
      <c r="H56" s="8" t="s">
        <v>426</v>
      </c>
      <c r="I56" s="8" t="s">
        <v>112</v>
      </c>
      <c r="J56" s="8" t="s">
        <v>5</v>
      </c>
      <c r="K56" s="8" t="s">
        <v>427</v>
      </c>
      <c r="L56" s="8" t="s">
        <v>114</v>
      </c>
      <c r="M56" s="8" t="s">
        <v>348</v>
      </c>
      <c r="N56" s="8" t="n">
        <v>67.7</v>
      </c>
      <c r="O56" s="8" t="s">
        <v>116</v>
      </c>
    </row>
    <row r="57" customFormat="false" ht="22.35" hidden="false" customHeight="false" outlineLevel="0" collapsed="false">
      <c r="A57" s="8" t="s">
        <v>428</v>
      </c>
      <c r="B57" s="8" t="s">
        <v>78</v>
      </c>
      <c r="C57" s="8" t="s">
        <v>429</v>
      </c>
      <c r="D57" s="8" t="s">
        <v>184</v>
      </c>
      <c r="E57" s="8" t="s">
        <v>430</v>
      </c>
      <c r="F57" s="8" t="s">
        <v>431</v>
      </c>
      <c r="G57" s="8" t="s">
        <v>432</v>
      </c>
      <c r="H57" s="8" t="s">
        <v>433</v>
      </c>
      <c r="I57" s="8" t="s">
        <v>112</v>
      </c>
      <c r="J57" s="8" t="s">
        <v>5</v>
      </c>
      <c r="K57" s="8" t="s">
        <v>434</v>
      </c>
      <c r="L57" s="8" t="s">
        <v>114</v>
      </c>
      <c r="M57" s="8" t="s">
        <v>348</v>
      </c>
      <c r="N57" s="8" t="n">
        <v>3</v>
      </c>
      <c r="O57" s="8" t="s">
        <v>116</v>
      </c>
    </row>
    <row r="58" customFormat="false" ht="22.35" hidden="false" customHeight="false" outlineLevel="0" collapsed="false">
      <c r="A58" s="8" t="s">
        <v>435</v>
      </c>
      <c r="B58" s="8" t="s">
        <v>78</v>
      </c>
      <c r="C58" s="8" t="s">
        <v>429</v>
      </c>
      <c r="D58" s="8" t="s">
        <v>184</v>
      </c>
      <c r="E58" s="8" t="s">
        <v>436</v>
      </c>
      <c r="F58" s="8" t="s">
        <v>437</v>
      </c>
      <c r="G58" s="8" t="s">
        <v>438</v>
      </c>
      <c r="H58" s="8" t="s">
        <v>439</v>
      </c>
      <c r="I58" s="8" t="s">
        <v>112</v>
      </c>
      <c r="J58" s="8" t="s">
        <v>5</v>
      </c>
      <c r="K58" s="8" t="s">
        <v>434</v>
      </c>
      <c r="L58" s="8" t="s">
        <v>114</v>
      </c>
      <c r="M58" s="8" t="s">
        <v>348</v>
      </c>
      <c r="N58" s="8" t="n">
        <v>4.5</v>
      </c>
      <c r="O58" s="8" t="s">
        <v>116</v>
      </c>
    </row>
    <row r="59" customFormat="false" ht="22.35" hidden="false" customHeight="false" outlineLevel="0" collapsed="false">
      <c r="A59" s="8" t="s">
        <v>440</v>
      </c>
      <c r="B59" s="8" t="s">
        <v>78</v>
      </c>
      <c r="C59" s="8" t="s">
        <v>429</v>
      </c>
      <c r="D59" s="8" t="s">
        <v>184</v>
      </c>
      <c r="E59" s="8" t="s">
        <v>441</v>
      </c>
      <c r="F59" s="8" t="s">
        <v>442</v>
      </c>
      <c r="G59" s="8" t="s">
        <v>443</v>
      </c>
      <c r="H59" s="8" t="s">
        <v>444</v>
      </c>
      <c r="I59" s="8" t="s">
        <v>112</v>
      </c>
      <c r="J59" s="8" t="s">
        <v>5</v>
      </c>
      <c r="K59" s="8" t="s">
        <v>434</v>
      </c>
      <c r="L59" s="8" t="s">
        <v>114</v>
      </c>
      <c r="M59" s="8" t="s">
        <v>348</v>
      </c>
      <c r="N59" s="8" t="n">
        <v>2.2</v>
      </c>
      <c r="O59" s="8" t="s">
        <v>116</v>
      </c>
    </row>
    <row r="60" customFormat="false" ht="22.35" hidden="false" customHeight="false" outlineLevel="0" collapsed="false">
      <c r="A60" s="8" t="s">
        <v>445</v>
      </c>
      <c r="B60" s="8" t="s">
        <v>78</v>
      </c>
      <c r="C60" s="8" t="s">
        <v>446</v>
      </c>
      <c r="D60" s="8" t="s">
        <v>282</v>
      </c>
      <c r="E60" s="8" t="s">
        <v>447</v>
      </c>
      <c r="F60" s="8" t="s">
        <v>448</v>
      </c>
      <c r="G60" s="8" t="s">
        <v>449</v>
      </c>
      <c r="H60" s="8" t="s">
        <v>450</v>
      </c>
      <c r="I60" s="8" t="s">
        <v>112</v>
      </c>
      <c r="J60" s="8" t="s">
        <v>5</v>
      </c>
      <c r="K60" s="8" t="s">
        <v>451</v>
      </c>
      <c r="L60" s="8" t="s">
        <v>114</v>
      </c>
      <c r="M60" s="8" t="s">
        <v>348</v>
      </c>
      <c r="N60" s="8" t="n">
        <v>48.4</v>
      </c>
      <c r="O60" s="8" t="s">
        <v>116</v>
      </c>
    </row>
    <row r="61" customFormat="false" ht="22.35" hidden="false" customHeight="false" outlineLevel="0" collapsed="false">
      <c r="A61" s="8" t="s">
        <v>452</v>
      </c>
      <c r="B61" s="8" t="s">
        <v>78</v>
      </c>
      <c r="C61" s="8" t="s">
        <v>446</v>
      </c>
      <c r="D61" s="8" t="s">
        <v>282</v>
      </c>
      <c r="E61" s="8" t="s">
        <v>453</v>
      </c>
      <c r="F61" s="8" t="s">
        <v>454</v>
      </c>
      <c r="G61" s="8" t="s">
        <v>455</v>
      </c>
      <c r="H61" s="8" t="s">
        <v>456</v>
      </c>
      <c r="I61" s="8" t="s">
        <v>112</v>
      </c>
      <c r="J61" s="8" t="s">
        <v>5</v>
      </c>
      <c r="K61" s="8" t="s">
        <v>451</v>
      </c>
      <c r="L61" s="8" t="s">
        <v>114</v>
      </c>
      <c r="M61" s="8" t="s">
        <v>348</v>
      </c>
      <c r="N61" s="8" t="n">
        <v>2.1</v>
      </c>
      <c r="O61" s="8" t="s">
        <v>116</v>
      </c>
    </row>
    <row r="62" customFormat="false" ht="43.25" hidden="false" customHeight="false" outlineLevel="0" collapsed="false">
      <c r="A62" s="8" t="s">
        <v>457</v>
      </c>
      <c r="B62" s="8" t="s">
        <v>78</v>
      </c>
      <c r="C62" s="8" t="s">
        <v>458</v>
      </c>
      <c r="D62" s="8" t="s">
        <v>184</v>
      </c>
      <c r="E62" s="8" t="s">
        <v>459</v>
      </c>
      <c r="F62" s="8" t="s">
        <v>460</v>
      </c>
      <c r="G62" s="8" t="s">
        <v>461</v>
      </c>
      <c r="H62" s="8" t="s">
        <v>462</v>
      </c>
      <c r="I62" s="8" t="s">
        <v>112</v>
      </c>
      <c r="J62" s="8" t="s">
        <v>5</v>
      </c>
      <c r="K62" s="8" t="s">
        <v>463</v>
      </c>
      <c r="L62" s="8" t="s">
        <v>114</v>
      </c>
      <c r="M62" s="8" t="s">
        <v>348</v>
      </c>
      <c r="N62" s="8" t="n">
        <v>8.9</v>
      </c>
      <c r="O62" s="8" t="s">
        <v>116</v>
      </c>
    </row>
    <row r="63" customFormat="false" ht="32.8" hidden="false" customHeight="false" outlineLevel="0" collapsed="false">
      <c r="A63" s="8" t="s">
        <v>464</v>
      </c>
      <c r="B63" s="8" t="s">
        <v>78</v>
      </c>
      <c r="C63" s="8" t="s">
        <v>458</v>
      </c>
      <c r="D63" s="8" t="s">
        <v>184</v>
      </c>
      <c r="E63" s="8" t="s">
        <v>465</v>
      </c>
      <c r="F63" s="8" t="s">
        <v>43</v>
      </c>
      <c r="G63" s="8" t="s">
        <v>43</v>
      </c>
      <c r="H63" s="8" t="s">
        <v>466</v>
      </c>
      <c r="I63" s="8" t="s">
        <v>112</v>
      </c>
      <c r="J63" s="8" t="s">
        <v>5</v>
      </c>
      <c r="K63" s="8" t="s">
        <v>463</v>
      </c>
      <c r="L63" s="8" t="s">
        <v>114</v>
      </c>
      <c r="M63" s="8" t="s">
        <v>348</v>
      </c>
      <c r="N63" s="8" t="n">
        <v>7.9</v>
      </c>
      <c r="O63" s="8" t="s">
        <v>116</v>
      </c>
    </row>
    <row r="64" customFormat="false" ht="22.35" hidden="false" customHeight="false" outlineLevel="0" collapsed="false">
      <c r="A64" s="8" t="s">
        <v>467</v>
      </c>
      <c r="B64" s="8" t="s">
        <v>79</v>
      </c>
      <c r="C64" s="8" t="s">
        <v>468</v>
      </c>
      <c r="D64" s="8" t="s">
        <v>218</v>
      </c>
      <c r="E64" s="8" t="s">
        <v>469</v>
      </c>
      <c r="F64" s="8" t="s">
        <v>470</v>
      </c>
      <c r="G64" s="8" t="s">
        <v>471</v>
      </c>
      <c r="H64" s="8" t="s">
        <v>472</v>
      </c>
      <c r="I64" s="8" t="s">
        <v>112</v>
      </c>
      <c r="J64" s="8" t="s">
        <v>5</v>
      </c>
      <c r="K64" s="8" t="s">
        <v>473</v>
      </c>
      <c r="L64" s="8" t="s">
        <v>114</v>
      </c>
      <c r="M64" s="8" t="s">
        <v>348</v>
      </c>
      <c r="N64" s="8" t="n">
        <v>8.1</v>
      </c>
      <c r="O64" s="8" t="s">
        <v>116</v>
      </c>
    </row>
    <row r="65" customFormat="false" ht="22.35" hidden="false" customHeight="false" outlineLevel="0" collapsed="false">
      <c r="A65" s="8" t="s">
        <v>474</v>
      </c>
      <c r="B65" s="8" t="s">
        <v>79</v>
      </c>
      <c r="C65" s="8" t="s">
        <v>468</v>
      </c>
      <c r="D65" s="8" t="s">
        <v>218</v>
      </c>
      <c r="E65" s="8" t="s">
        <v>475</v>
      </c>
      <c r="F65" s="8" t="s">
        <v>43</v>
      </c>
      <c r="G65" s="8" t="s">
        <v>476</v>
      </c>
      <c r="H65" s="8" t="s">
        <v>477</v>
      </c>
      <c r="I65" s="8" t="s">
        <v>112</v>
      </c>
      <c r="J65" s="8" t="s">
        <v>5</v>
      </c>
      <c r="K65" s="8" t="s">
        <v>473</v>
      </c>
      <c r="L65" s="8" t="s">
        <v>114</v>
      </c>
      <c r="M65" s="8" t="s">
        <v>348</v>
      </c>
      <c r="N65" s="8" t="n">
        <v>18.8</v>
      </c>
      <c r="O65" s="8" t="s">
        <v>116</v>
      </c>
    </row>
    <row r="66" customFormat="false" ht="53.7" hidden="false" customHeight="false" outlineLevel="0" collapsed="false">
      <c r="A66" s="8" t="s">
        <v>478</v>
      </c>
      <c r="B66" s="8" t="s">
        <v>79</v>
      </c>
      <c r="C66" s="8" t="s">
        <v>479</v>
      </c>
      <c r="D66" s="8" t="s">
        <v>218</v>
      </c>
      <c r="E66" s="8" t="s">
        <v>480</v>
      </c>
      <c r="F66" s="8" t="s">
        <v>481</v>
      </c>
      <c r="G66" s="8" t="s">
        <v>482</v>
      </c>
      <c r="H66" s="8" t="s">
        <v>483</v>
      </c>
      <c r="I66" s="8" t="s">
        <v>112</v>
      </c>
      <c r="J66" s="8" t="s">
        <v>5</v>
      </c>
      <c r="K66" s="8" t="s">
        <v>484</v>
      </c>
      <c r="L66" s="8" t="s">
        <v>114</v>
      </c>
      <c r="M66" s="8" t="s">
        <v>348</v>
      </c>
      <c r="N66" s="8" t="n">
        <v>9.2</v>
      </c>
      <c r="O66" s="8" t="s">
        <v>116</v>
      </c>
    </row>
    <row r="67" customFormat="false" ht="32.8" hidden="false" customHeight="false" outlineLevel="0" collapsed="false">
      <c r="A67" s="8" t="s">
        <v>485</v>
      </c>
      <c r="B67" s="8" t="s">
        <v>79</v>
      </c>
      <c r="C67" s="8" t="s">
        <v>486</v>
      </c>
      <c r="D67" s="8" t="s">
        <v>218</v>
      </c>
      <c r="E67" s="8" t="s">
        <v>487</v>
      </c>
      <c r="F67" s="8" t="s">
        <v>43</v>
      </c>
      <c r="G67" s="8" t="s">
        <v>488</v>
      </c>
      <c r="H67" s="8" t="s">
        <v>489</v>
      </c>
      <c r="I67" s="8" t="s">
        <v>112</v>
      </c>
      <c r="J67" s="8" t="s">
        <v>5</v>
      </c>
      <c r="K67" s="8" t="s">
        <v>490</v>
      </c>
      <c r="L67" s="8" t="s">
        <v>114</v>
      </c>
      <c r="M67" s="8" t="s">
        <v>348</v>
      </c>
      <c r="N67" s="8" t="n">
        <v>10.8</v>
      </c>
      <c r="O67" s="8" t="s">
        <v>116</v>
      </c>
    </row>
    <row r="68" customFormat="false" ht="53.7" hidden="false" customHeight="false" outlineLevel="0" collapsed="false">
      <c r="A68" s="8" t="s">
        <v>491</v>
      </c>
      <c r="B68" s="8" t="s">
        <v>79</v>
      </c>
      <c r="C68" s="8" t="s">
        <v>492</v>
      </c>
      <c r="D68" s="8" t="s">
        <v>218</v>
      </c>
      <c r="E68" s="8" t="s">
        <v>493</v>
      </c>
      <c r="F68" s="8" t="s">
        <v>494</v>
      </c>
      <c r="G68" s="8" t="s">
        <v>495</v>
      </c>
      <c r="H68" s="8" t="s">
        <v>496</v>
      </c>
      <c r="I68" s="8" t="s">
        <v>112</v>
      </c>
      <c r="J68" s="8" t="s">
        <v>5</v>
      </c>
      <c r="K68" s="8" t="s">
        <v>497</v>
      </c>
      <c r="L68" s="8" t="s">
        <v>114</v>
      </c>
      <c r="M68" s="8" t="s">
        <v>348</v>
      </c>
      <c r="N68" s="8" t="n">
        <v>16.9</v>
      </c>
      <c r="O68" s="8" t="s">
        <v>116</v>
      </c>
    </row>
    <row r="69" customFormat="false" ht="32.8" hidden="false" customHeight="false" outlineLevel="0" collapsed="false">
      <c r="A69" s="8" t="s">
        <v>498</v>
      </c>
      <c r="B69" s="8" t="s">
        <v>79</v>
      </c>
      <c r="C69" s="8" t="s">
        <v>492</v>
      </c>
      <c r="D69" s="8" t="s">
        <v>218</v>
      </c>
      <c r="E69" s="8" t="s">
        <v>499</v>
      </c>
      <c r="F69" s="8" t="s">
        <v>43</v>
      </c>
      <c r="G69" s="8" t="s">
        <v>500</v>
      </c>
      <c r="H69" s="8" t="s">
        <v>501</v>
      </c>
      <c r="I69" s="8" t="s">
        <v>112</v>
      </c>
      <c r="J69" s="8" t="s">
        <v>5</v>
      </c>
      <c r="K69" s="8" t="s">
        <v>497</v>
      </c>
      <c r="L69" s="8" t="s">
        <v>114</v>
      </c>
      <c r="M69" s="8" t="s">
        <v>348</v>
      </c>
      <c r="N69" s="8" t="n">
        <v>1.9</v>
      </c>
      <c r="O69" s="8" t="s">
        <v>116</v>
      </c>
    </row>
    <row r="70" customFormat="false" ht="32.8" hidden="false" customHeight="false" outlineLevel="0" collapsed="false">
      <c r="A70" s="8" t="s">
        <v>502</v>
      </c>
      <c r="B70" s="8" t="s">
        <v>79</v>
      </c>
      <c r="C70" s="8" t="s">
        <v>492</v>
      </c>
      <c r="D70" s="8" t="s">
        <v>218</v>
      </c>
      <c r="E70" s="8" t="s">
        <v>503</v>
      </c>
      <c r="F70" s="8" t="s">
        <v>504</v>
      </c>
      <c r="G70" s="8" t="s">
        <v>43</v>
      </c>
      <c r="H70" s="8" t="s">
        <v>505</v>
      </c>
      <c r="I70" s="8" t="s">
        <v>112</v>
      </c>
      <c r="J70" s="8" t="s">
        <v>5</v>
      </c>
      <c r="K70" s="8" t="s">
        <v>497</v>
      </c>
      <c r="L70" s="8" t="s">
        <v>114</v>
      </c>
      <c r="M70" s="8" t="s">
        <v>348</v>
      </c>
      <c r="N70" s="8" t="n">
        <v>13</v>
      </c>
      <c r="O70" s="8" t="s">
        <v>116</v>
      </c>
    </row>
    <row r="71" customFormat="false" ht="43.25" hidden="false" customHeight="false" outlineLevel="0" collapsed="false">
      <c r="A71" s="8" t="s">
        <v>506</v>
      </c>
      <c r="B71" s="8" t="s">
        <v>79</v>
      </c>
      <c r="C71" s="8" t="s">
        <v>507</v>
      </c>
      <c r="D71" s="8" t="s">
        <v>218</v>
      </c>
      <c r="E71" s="8" t="s">
        <v>508</v>
      </c>
      <c r="F71" s="8" t="s">
        <v>509</v>
      </c>
      <c r="G71" s="8" t="s">
        <v>510</v>
      </c>
      <c r="H71" s="8" t="s">
        <v>511</v>
      </c>
      <c r="I71" s="8" t="s">
        <v>112</v>
      </c>
      <c r="J71" s="8" t="s">
        <v>5</v>
      </c>
      <c r="K71" s="8" t="s">
        <v>512</v>
      </c>
      <c r="L71" s="8" t="s">
        <v>114</v>
      </c>
      <c r="M71" s="8" t="s">
        <v>348</v>
      </c>
      <c r="N71" s="8" t="n">
        <v>1.8</v>
      </c>
      <c r="O71" s="8" t="s">
        <v>116</v>
      </c>
    </row>
    <row r="72" customFormat="false" ht="22.35" hidden="false" customHeight="false" outlineLevel="0" collapsed="false">
      <c r="A72" s="8" t="s">
        <v>513</v>
      </c>
      <c r="B72" s="8" t="s">
        <v>79</v>
      </c>
      <c r="C72" s="8" t="s">
        <v>507</v>
      </c>
      <c r="D72" s="8" t="s">
        <v>218</v>
      </c>
      <c r="E72" s="8" t="s">
        <v>514</v>
      </c>
      <c r="F72" s="8" t="s">
        <v>43</v>
      </c>
      <c r="G72" s="8" t="s">
        <v>43</v>
      </c>
      <c r="H72" s="8" t="s">
        <v>515</v>
      </c>
      <c r="I72" s="8" t="s">
        <v>112</v>
      </c>
      <c r="J72" s="8" t="s">
        <v>5</v>
      </c>
      <c r="K72" s="8" t="s">
        <v>512</v>
      </c>
      <c r="L72" s="8" t="s">
        <v>114</v>
      </c>
      <c r="M72" s="8" t="s">
        <v>348</v>
      </c>
      <c r="N72" s="8" t="n">
        <v>1.2</v>
      </c>
      <c r="O72" s="8" t="s">
        <v>116</v>
      </c>
    </row>
    <row r="73" customFormat="false" ht="32.8" hidden="false" customHeight="false" outlineLevel="0" collapsed="false">
      <c r="A73" s="8" t="s">
        <v>516</v>
      </c>
      <c r="B73" s="8" t="s">
        <v>79</v>
      </c>
      <c r="C73" s="8" t="s">
        <v>517</v>
      </c>
      <c r="D73" s="8" t="s">
        <v>218</v>
      </c>
      <c r="E73" s="8" t="s">
        <v>518</v>
      </c>
      <c r="F73" s="8" t="s">
        <v>43</v>
      </c>
      <c r="G73" s="8" t="s">
        <v>519</v>
      </c>
      <c r="H73" s="8" t="s">
        <v>520</v>
      </c>
      <c r="I73" s="8" t="s">
        <v>112</v>
      </c>
      <c r="J73" s="8" t="s">
        <v>5</v>
      </c>
      <c r="K73" s="8" t="s">
        <v>521</v>
      </c>
      <c r="L73" s="8" t="s">
        <v>231</v>
      </c>
      <c r="M73" s="8" t="s">
        <v>348</v>
      </c>
      <c r="N73" s="8" t="n">
        <v>10.1</v>
      </c>
      <c r="O73" s="8" t="s">
        <v>116</v>
      </c>
    </row>
    <row r="74" customFormat="false" ht="22.35" hidden="false" customHeight="false" outlineLevel="0" collapsed="false">
      <c r="A74" s="8" t="s">
        <v>522</v>
      </c>
      <c r="B74" s="8" t="s">
        <v>79</v>
      </c>
      <c r="C74" s="8" t="s">
        <v>517</v>
      </c>
      <c r="D74" s="8" t="s">
        <v>218</v>
      </c>
      <c r="E74" s="8" t="s">
        <v>523</v>
      </c>
      <c r="F74" s="8" t="s">
        <v>43</v>
      </c>
      <c r="G74" s="8" t="s">
        <v>524</v>
      </c>
      <c r="H74" s="8" t="s">
        <v>525</v>
      </c>
      <c r="I74" s="8" t="s">
        <v>112</v>
      </c>
      <c r="J74" s="8" t="s">
        <v>5</v>
      </c>
      <c r="K74" s="8" t="s">
        <v>521</v>
      </c>
      <c r="L74" s="8" t="s">
        <v>231</v>
      </c>
      <c r="M74" s="8" t="s">
        <v>348</v>
      </c>
      <c r="N74" s="8" t="n">
        <v>13.9</v>
      </c>
      <c r="O74" s="8" t="s">
        <v>116</v>
      </c>
    </row>
    <row r="75" customFormat="false" ht="32.8" hidden="false" customHeight="false" outlineLevel="0" collapsed="false">
      <c r="A75" s="8" t="s">
        <v>526</v>
      </c>
      <c r="B75" s="8" t="s">
        <v>79</v>
      </c>
      <c r="C75" s="8" t="s">
        <v>527</v>
      </c>
      <c r="D75" s="8" t="s">
        <v>218</v>
      </c>
      <c r="E75" s="8" t="s">
        <v>528</v>
      </c>
      <c r="F75" s="8" t="s">
        <v>529</v>
      </c>
      <c r="G75" s="8" t="s">
        <v>43</v>
      </c>
      <c r="H75" s="8" t="s">
        <v>530</v>
      </c>
      <c r="I75" s="8" t="s">
        <v>112</v>
      </c>
      <c r="J75" s="8" t="s">
        <v>5</v>
      </c>
      <c r="K75" s="8" t="s">
        <v>531</v>
      </c>
      <c r="L75" s="8" t="s">
        <v>114</v>
      </c>
      <c r="M75" s="8" t="s">
        <v>348</v>
      </c>
      <c r="N75" s="8" t="n">
        <v>12.2</v>
      </c>
      <c r="O75" s="8" t="s">
        <v>116</v>
      </c>
    </row>
    <row r="76" customFormat="false" ht="22.35" hidden="false" customHeight="false" outlineLevel="0" collapsed="false">
      <c r="A76" s="8" t="s">
        <v>532</v>
      </c>
      <c r="B76" s="8" t="s">
        <v>80</v>
      </c>
      <c r="C76" s="8" t="s">
        <v>533</v>
      </c>
      <c r="D76" s="8" t="s">
        <v>534</v>
      </c>
      <c r="E76" s="8" t="s">
        <v>535</v>
      </c>
      <c r="F76" s="8" t="s">
        <v>536</v>
      </c>
      <c r="G76" s="8" t="s">
        <v>43</v>
      </c>
      <c r="H76" s="8" t="s">
        <v>537</v>
      </c>
      <c r="I76" s="8" t="s">
        <v>112</v>
      </c>
      <c r="J76" s="8" t="s">
        <v>5</v>
      </c>
      <c r="K76" s="8" t="s">
        <v>538</v>
      </c>
      <c r="L76" s="8" t="s">
        <v>114</v>
      </c>
      <c r="M76" s="8" t="s">
        <v>348</v>
      </c>
      <c r="N76" s="8" t="n">
        <v>1.5</v>
      </c>
      <c r="O76" s="8" t="s">
        <v>116</v>
      </c>
    </row>
    <row r="77" customFormat="false" ht="22.35" hidden="false" customHeight="false" outlineLevel="0" collapsed="false">
      <c r="A77" s="8" t="s">
        <v>539</v>
      </c>
      <c r="B77" s="8" t="s">
        <v>80</v>
      </c>
      <c r="C77" s="8" t="s">
        <v>533</v>
      </c>
      <c r="D77" s="8" t="s">
        <v>534</v>
      </c>
      <c r="E77" s="8" t="s">
        <v>540</v>
      </c>
      <c r="F77" s="8" t="s">
        <v>541</v>
      </c>
      <c r="G77" s="8" t="s">
        <v>43</v>
      </c>
      <c r="H77" s="8" t="s">
        <v>542</v>
      </c>
      <c r="I77" s="8" t="s">
        <v>112</v>
      </c>
      <c r="J77" s="8" t="s">
        <v>5</v>
      </c>
      <c r="K77" s="8" t="s">
        <v>538</v>
      </c>
      <c r="L77" s="8" t="s">
        <v>114</v>
      </c>
      <c r="M77" s="8" t="s">
        <v>348</v>
      </c>
      <c r="N77" s="8" t="n">
        <v>0.7</v>
      </c>
      <c r="O77" s="8" t="s">
        <v>116</v>
      </c>
    </row>
    <row r="78" customFormat="false" ht="43.25" hidden="false" customHeight="false" outlineLevel="0" collapsed="false">
      <c r="A78" s="8" t="s">
        <v>543</v>
      </c>
      <c r="B78" s="8" t="s">
        <v>80</v>
      </c>
      <c r="C78" s="8" t="s">
        <v>544</v>
      </c>
      <c r="D78" s="8" t="s">
        <v>545</v>
      </c>
      <c r="E78" s="8" t="s">
        <v>546</v>
      </c>
      <c r="F78" s="8" t="s">
        <v>43</v>
      </c>
      <c r="G78" s="8" t="s">
        <v>547</v>
      </c>
      <c r="H78" s="8" t="s">
        <v>548</v>
      </c>
      <c r="I78" s="8" t="s">
        <v>112</v>
      </c>
      <c r="J78" s="8" t="s">
        <v>5</v>
      </c>
      <c r="K78" s="8" t="s">
        <v>549</v>
      </c>
      <c r="L78" s="8" t="s">
        <v>231</v>
      </c>
      <c r="M78" s="8" t="s">
        <v>348</v>
      </c>
      <c r="N78" s="8" t="n">
        <v>14.8</v>
      </c>
      <c r="O78" s="8" t="s">
        <v>116</v>
      </c>
    </row>
    <row r="79" customFormat="false" ht="22.35" hidden="false" customHeight="false" outlineLevel="0" collapsed="false">
      <c r="A79" s="8" t="s">
        <v>550</v>
      </c>
      <c r="B79" s="8" t="s">
        <v>80</v>
      </c>
      <c r="C79" s="8" t="s">
        <v>551</v>
      </c>
      <c r="D79" s="8" t="s">
        <v>301</v>
      </c>
      <c r="E79" s="8" t="s">
        <v>552</v>
      </c>
      <c r="F79" s="8" t="s">
        <v>553</v>
      </c>
      <c r="G79" s="8" t="s">
        <v>554</v>
      </c>
      <c r="H79" s="8" t="s">
        <v>555</v>
      </c>
      <c r="I79" s="8" t="s">
        <v>112</v>
      </c>
      <c r="J79" s="8" t="s">
        <v>5</v>
      </c>
      <c r="K79" s="8" t="s">
        <v>556</v>
      </c>
      <c r="L79" s="8" t="s">
        <v>231</v>
      </c>
      <c r="M79" s="8" t="s">
        <v>348</v>
      </c>
      <c r="N79" s="8" t="n">
        <v>11.6</v>
      </c>
      <c r="O79" s="8" t="s">
        <v>116</v>
      </c>
    </row>
    <row r="80" customFormat="false" ht="22.35" hidden="false" customHeight="false" outlineLevel="0" collapsed="false">
      <c r="A80" s="8" t="s">
        <v>557</v>
      </c>
      <c r="B80" s="8" t="s">
        <v>80</v>
      </c>
      <c r="C80" s="8" t="s">
        <v>551</v>
      </c>
      <c r="D80" s="8" t="s">
        <v>301</v>
      </c>
      <c r="E80" s="8" t="s">
        <v>558</v>
      </c>
      <c r="F80" s="8" t="s">
        <v>43</v>
      </c>
      <c r="G80" s="8" t="s">
        <v>559</v>
      </c>
      <c r="H80" s="8" t="s">
        <v>560</v>
      </c>
      <c r="I80" s="8" t="s">
        <v>112</v>
      </c>
      <c r="J80" s="8" t="s">
        <v>5</v>
      </c>
      <c r="K80" s="8" t="s">
        <v>556</v>
      </c>
      <c r="L80" s="8" t="s">
        <v>231</v>
      </c>
      <c r="M80" s="8" t="s">
        <v>348</v>
      </c>
      <c r="N80" s="8" t="n">
        <v>19.2</v>
      </c>
      <c r="O80" s="8" t="s">
        <v>116</v>
      </c>
    </row>
    <row r="81" customFormat="false" ht="22.35" hidden="false" customHeight="false" outlineLevel="0" collapsed="false">
      <c r="A81" s="8" t="s">
        <v>561</v>
      </c>
      <c r="B81" s="8" t="s">
        <v>80</v>
      </c>
      <c r="C81" s="8" t="s">
        <v>562</v>
      </c>
      <c r="D81" s="8" t="s">
        <v>128</v>
      </c>
      <c r="E81" s="8" t="s">
        <v>563</v>
      </c>
      <c r="F81" s="8" t="s">
        <v>564</v>
      </c>
      <c r="G81" s="8" t="s">
        <v>565</v>
      </c>
      <c r="H81" s="8" t="s">
        <v>566</v>
      </c>
      <c r="I81" s="8" t="s">
        <v>112</v>
      </c>
      <c r="J81" s="8" t="s">
        <v>5</v>
      </c>
      <c r="K81" s="8" t="s">
        <v>567</v>
      </c>
      <c r="L81" s="8" t="s">
        <v>231</v>
      </c>
      <c r="M81" s="8" t="s">
        <v>348</v>
      </c>
      <c r="N81" s="8" t="n">
        <v>1</v>
      </c>
      <c r="O81" s="8" t="s">
        <v>116</v>
      </c>
    </row>
    <row r="82" customFormat="false" ht="22.35" hidden="false" customHeight="false" outlineLevel="0" collapsed="false">
      <c r="A82" s="8" t="s">
        <v>568</v>
      </c>
      <c r="B82" s="8" t="s">
        <v>80</v>
      </c>
      <c r="C82" s="8" t="s">
        <v>562</v>
      </c>
      <c r="D82" s="8" t="s">
        <v>128</v>
      </c>
      <c r="E82" s="8" t="s">
        <v>569</v>
      </c>
      <c r="F82" s="8" t="s">
        <v>570</v>
      </c>
      <c r="G82" s="8" t="s">
        <v>43</v>
      </c>
      <c r="H82" s="8" t="s">
        <v>571</v>
      </c>
      <c r="I82" s="8" t="s">
        <v>112</v>
      </c>
      <c r="J82" s="8" t="s">
        <v>5</v>
      </c>
      <c r="K82" s="8" t="s">
        <v>567</v>
      </c>
      <c r="L82" s="8" t="s">
        <v>231</v>
      </c>
      <c r="M82" s="8" t="s">
        <v>348</v>
      </c>
      <c r="N82" s="8" t="n">
        <v>23.2</v>
      </c>
      <c r="O82" s="8" t="s">
        <v>116</v>
      </c>
    </row>
    <row r="83" customFormat="false" ht="43.25" hidden="false" customHeight="false" outlineLevel="0" collapsed="false">
      <c r="A83" s="8" t="s">
        <v>572</v>
      </c>
      <c r="B83" s="8" t="s">
        <v>80</v>
      </c>
      <c r="C83" s="8" t="s">
        <v>573</v>
      </c>
      <c r="D83" s="8" t="s">
        <v>247</v>
      </c>
      <c r="E83" s="8" t="s">
        <v>574</v>
      </c>
      <c r="F83" s="8" t="s">
        <v>575</v>
      </c>
      <c r="G83" s="8" t="s">
        <v>576</v>
      </c>
      <c r="H83" s="8" t="s">
        <v>577</v>
      </c>
      <c r="I83" s="8" t="s">
        <v>112</v>
      </c>
      <c r="J83" s="8" t="s">
        <v>5</v>
      </c>
      <c r="K83" s="8" t="s">
        <v>578</v>
      </c>
      <c r="L83" s="8" t="s">
        <v>579</v>
      </c>
      <c r="M83" s="8" t="s">
        <v>348</v>
      </c>
      <c r="N83" s="8" t="n">
        <v>0.3</v>
      </c>
      <c r="O83" s="8" t="s">
        <v>116</v>
      </c>
    </row>
    <row r="84" customFormat="false" ht="53.7" hidden="false" customHeight="false" outlineLevel="0" collapsed="false">
      <c r="A84" s="8" t="s">
        <v>580</v>
      </c>
      <c r="B84" s="8" t="s">
        <v>80</v>
      </c>
      <c r="C84" s="8" t="s">
        <v>581</v>
      </c>
      <c r="D84" s="8" t="s">
        <v>582</v>
      </c>
      <c r="E84" s="8" t="s">
        <v>583</v>
      </c>
      <c r="F84" s="8" t="s">
        <v>584</v>
      </c>
      <c r="G84" s="8" t="s">
        <v>585</v>
      </c>
      <c r="H84" s="8" t="s">
        <v>586</v>
      </c>
      <c r="I84" s="8" t="s">
        <v>112</v>
      </c>
      <c r="J84" s="8" t="s">
        <v>5</v>
      </c>
      <c r="K84" s="8" t="s">
        <v>587</v>
      </c>
      <c r="L84" s="8" t="s">
        <v>231</v>
      </c>
      <c r="M84" s="8" t="s">
        <v>348</v>
      </c>
      <c r="N84" s="8" t="n">
        <v>16.2</v>
      </c>
      <c r="O84" s="8" t="s">
        <v>116</v>
      </c>
    </row>
    <row r="85" customFormat="false" ht="53.7" hidden="false" customHeight="false" outlineLevel="0" collapsed="false">
      <c r="A85" s="8" t="s">
        <v>588</v>
      </c>
      <c r="B85" s="8" t="s">
        <v>81</v>
      </c>
      <c r="C85" s="8" t="s">
        <v>589</v>
      </c>
      <c r="D85" s="8" t="s">
        <v>590</v>
      </c>
      <c r="E85" s="8" t="s">
        <v>591</v>
      </c>
      <c r="F85" s="8" t="s">
        <v>43</v>
      </c>
      <c r="G85" s="8" t="s">
        <v>592</v>
      </c>
      <c r="H85" s="8" t="s">
        <v>593</v>
      </c>
      <c r="I85" s="8" t="s">
        <v>112</v>
      </c>
      <c r="J85" s="8" t="s">
        <v>5</v>
      </c>
      <c r="K85" s="8" t="s">
        <v>594</v>
      </c>
      <c r="L85" s="8" t="s">
        <v>114</v>
      </c>
      <c r="M85" s="8" t="s">
        <v>595</v>
      </c>
      <c r="N85" s="8" t="n">
        <v>1130.2</v>
      </c>
      <c r="O85" s="8" t="s">
        <v>116</v>
      </c>
    </row>
    <row r="86" customFormat="false" ht="43.25" hidden="false" customHeight="false" outlineLevel="0" collapsed="false">
      <c r="A86" s="8" t="s">
        <v>596</v>
      </c>
      <c r="B86" s="8" t="s">
        <v>81</v>
      </c>
      <c r="C86" s="8" t="s">
        <v>597</v>
      </c>
      <c r="D86" s="8" t="s">
        <v>598</v>
      </c>
      <c r="E86" s="8" t="s">
        <v>599</v>
      </c>
      <c r="F86" s="8" t="s">
        <v>600</v>
      </c>
      <c r="G86" s="8" t="s">
        <v>601</v>
      </c>
      <c r="H86" s="8" t="s">
        <v>602</v>
      </c>
      <c r="I86" s="8" t="s">
        <v>112</v>
      </c>
      <c r="J86" s="8" t="s">
        <v>5</v>
      </c>
      <c r="K86" s="8" t="s">
        <v>603</v>
      </c>
      <c r="L86" s="8" t="s">
        <v>114</v>
      </c>
      <c r="M86" s="8" t="s">
        <v>595</v>
      </c>
      <c r="N86" s="8" t="n">
        <v>6.2</v>
      </c>
      <c r="O86" s="8" t="s">
        <v>116</v>
      </c>
    </row>
    <row r="87" customFormat="false" ht="32.8" hidden="false" customHeight="false" outlineLevel="0" collapsed="false">
      <c r="A87" s="8" t="s">
        <v>604</v>
      </c>
      <c r="B87" s="8" t="s">
        <v>81</v>
      </c>
      <c r="C87" s="8" t="s">
        <v>597</v>
      </c>
      <c r="D87" s="8" t="s">
        <v>598</v>
      </c>
      <c r="E87" s="8" t="s">
        <v>605</v>
      </c>
      <c r="F87" s="8" t="s">
        <v>43</v>
      </c>
      <c r="G87" s="8" t="s">
        <v>606</v>
      </c>
      <c r="H87" s="8" t="s">
        <v>607</v>
      </c>
      <c r="I87" s="8" t="s">
        <v>112</v>
      </c>
      <c r="J87" s="8" t="s">
        <v>5</v>
      </c>
      <c r="K87" s="8" t="s">
        <v>603</v>
      </c>
      <c r="L87" s="8" t="s">
        <v>114</v>
      </c>
      <c r="M87" s="8" t="s">
        <v>595</v>
      </c>
      <c r="N87" s="8" t="n">
        <v>2.9</v>
      </c>
      <c r="O87" s="8" t="s">
        <v>116</v>
      </c>
    </row>
    <row r="88" customFormat="false" ht="22.35" hidden="false" customHeight="false" outlineLevel="0" collapsed="false">
      <c r="A88" s="8" t="s">
        <v>608</v>
      </c>
      <c r="B88" s="8" t="s">
        <v>81</v>
      </c>
      <c r="C88" s="8" t="s">
        <v>609</v>
      </c>
      <c r="D88" s="8" t="s">
        <v>610</v>
      </c>
      <c r="E88" s="8" t="s">
        <v>611</v>
      </c>
      <c r="F88" s="8" t="s">
        <v>43</v>
      </c>
      <c r="G88" s="8" t="s">
        <v>612</v>
      </c>
      <c r="H88" s="8" t="s">
        <v>613</v>
      </c>
      <c r="I88" s="8" t="s">
        <v>112</v>
      </c>
      <c r="J88" s="8" t="s">
        <v>5</v>
      </c>
      <c r="K88" s="8" t="s">
        <v>614</v>
      </c>
      <c r="L88" s="8" t="s">
        <v>114</v>
      </c>
      <c r="M88" s="8" t="s">
        <v>595</v>
      </c>
      <c r="N88" s="8" t="n">
        <v>6.6</v>
      </c>
      <c r="O88" s="8" t="s">
        <v>116</v>
      </c>
    </row>
    <row r="89" customFormat="false" ht="22.35" hidden="false" customHeight="false" outlineLevel="0" collapsed="false">
      <c r="A89" s="8" t="s">
        <v>615</v>
      </c>
      <c r="B89" s="8" t="s">
        <v>81</v>
      </c>
      <c r="C89" s="8" t="s">
        <v>609</v>
      </c>
      <c r="D89" s="8" t="s">
        <v>610</v>
      </c>
      <c r="E89" s="8" t="s">
        <v>616</v>
      </c>
      <c r="F89" s="8" t="s">
        <v>43</v>
      </c>
      <c r="G89" s="8" t="s">
        <v>617</v>
      </c>
      <c r="H89" s="8" t="s">
        <v>618</v>
      </c>
      <c r="I89" s="8" t="s">
        <v>112</v>
      </c>
      <c r="J89" s="8" t="s">
        <v>5</v>
      </c>
      <c r="K89" s="8" t="s">
        <v>614</v>
      </c>
      <c r="L89" s="8" t="s">
        <v>114</v>
      </c>
      <c r="M89" s="8" t="s">
        <v>595</v>
      </c>
      <c r="N89" s="8" t="n">
        <v>7.3</v>
      </c>
      <c r="O89" s="8" t="s">
        <v>116</v>
      </c>
    </row>
    <row r="90" customFormat="false" ht="22.35" hidden="false" customHeight="false" outlineLevel="0" collapsed="false">
      <c r="A90" s="8" t="s">
        <v>619</v>
      </c>
      <c r="B90" s="8" t="s">
        <v>81</v>
      </c>
      <c r="C90" s="8" t="s">
        <v>620</v>
      </c>
      <c r="D90" s="8" t="s">
        <v>621</v>
      </c>
      <c r="E90" s="8" t="s">
        <v>622</v>
      </c>
      <c r="F90" s="8" t="s">
        <v>623</v>
      </c>
      <c r="G90" s="8" t="s">
        <v>624</v>
      </c>
      <c r="H90" s="8" t="s">
        <v>625</v>
      </c>
      <c r="I90" s="8" t="s">
        <v>112</v>
      </c>
      <c r="J90" s="8" t="s">
        <v>5</v>
      </c>
      <c r="K90" s="8" t="s">
        <v>626</v>
      </c>
      <c r="L90" s="8" t="s">
        <v>114</v>
      </c>
      <c r="M90" s="8" t="s">
        <v>595</v>
      </c>
      <c r="N90" s="8" t="n">
        <v>2.1</v>
      </c>
      <c r="O90" s="8" t="s">
        <v>116</v>
      </c>
    </row>
    <row r="91" customFormat="false" ht="22.35" hidden="false" customHeight="false" outlineLevel="0" collapsed="false">
      <c r="A91" s="8" t="s">
        <v>627</v>
      </c>
      <c r="B91" s="8" t="s">
        <v>81</v>
      </c>
      <c r="C91" s="8" t="s">
        <v>620</v>
      </c>
      <c r="D91" s="8" t="s">
        <v>621</v>
      </c>
      <c r="E91" s="8" t="s">
        <v>628</v>
      </c>
      <c r="F91" s="8" t="s">
        <v>629</v>
      </c>
      <c r="G91" s="8" t="s">
        <v>43</v>
      </c>
      <c r="H91" s="8" t="s">
        <v>630</v>
      </c>
      <c r="I91" s="8" t="s">
        <v>112</v>
      </c>
      <c r="J91" s="8" t="s">
        <v>5</v>
      </c>
      <c r="K91" s="8" t="s">
        <v>626</v>
      </c>
      <c r="L91" s="8" t="s">
        <v>114</v>
      </c>
      <c r="M91" s="8" t="s">
        <v>595</v>
      </c>
      <c r="N91" s="8" t="n">
        <v>47.9</v>
      </c>
      <c r="O91" s="8" t="s">
        <v>116</v>
      </c>
    </row>
    <row r="92" customFormat="false" ht="22.35" hidden="false" customHeight="false" outlineLevel="0" collapsed="false">
      <c r="A92" s="8" t="s">
        <v>631</v>
      </c>
      <c r="B92" s="8" t="s">
        <v>81</v>
      </c>
      <c r="C92" s="8" t="s">
        <v>632</v>
      </c>
      <c r="D92" s="8" t="s">
        <v>590</v>
      </c>
      <c r="E92" s="8" t="s">
        <v>633</v>
      </c>
      <c r="F92" s="8" t="s">
        <v>43</v>
      </c>
      <c r="G92" s="8" t="s">
        <v>634</v>
      </c>
      <c r="H92" s="8" t="s">
        <v>635</v>
      </c>
      <c r="I92" s="8" t="s">
        <v>112</v>
      </c>
      <c r="J92" s="8" t="s">
        <v>5</v>
      </c>
      <c r="K92" s="8" t="s">
        <v>636</v>
      </c>
      <c r="L92" s="8" t="s">
        <v>114</v>
      </c>
      <c r="M92" s="8" t="s">
        <v>595</v>
      </c>
      <c r="N92" s="8" t="n">
        <v>6.1</v>
      </c>
      <c r="O92" s="8" t="s">
        <v>116</v>
      </c>
    </row>
    <row r="93" customFormat="false" ht="22.35" hidden="false" customHeight="false" outlineLevel="0" collapsed="false">
      <c r="A93" s="8" t="s">
        <v>637</v>
      </c>
      <c r="B93" s="8" t="s">
        <v>82</v>
      </c>
      <c r="C93" s="8" t="s">
        <v>638</v>
      </c>
      <c r="D93" s="8" t="s">
        <v>639</v>
      </c>
      <c r="E93" s="8" t="s">
        <v>640</v>
      </c>
      <c r="F93" s="8" t="s">
        <v>641</v>
      </c>
      <c r="G93" s="8" t="s">
        <v>43</v>
      </c>
      <c r="H93" s="8" t="s">
        <v>642</v>
      </c>
      <c r="I93" s="8" t="s">
        <v>112</v>
      </c>
      <c r="J93" s="8" t="s">
        <v>5</v>
      </c>
      <c r="K93" s="8" t="s">
        <v>643</v>
      </c>
      <c r="L93" s="8" t="s">
        <v>231</v>
      </c>
      <c r="M93" s="8" t="s">
        <v>595</v>
      </c>
      <c r="N93" s="8" t="n">
        <v>10</v>
      </c>
      <c r="O93" s="8" t="s">
        <v>116</v>
      </c>
    </row>
    <row r="94" customFormat="false" ht="43.25" hidden="false" customHeight="false" outlineLevel="0" collapsed="false">
      <c r="A94" s="8" t="s">
        <v>644</v>
      </c>
      <c r="B94" s="8" t="s">
        <v>82</v>
      </c>
      <c r="C94" s="8" t="s">
        <v>638</v>
      </c>
      <c r="D94" s="8" t="s">
        <v>639</v>
      </c>
      <c r="E94" s="8" t="s">
        <v>645</v>
      </c>
      <c r="F94" s="8" t="s">
        <v>43</v>
      </c>
      <c r="G94" s="8" t="s">
        <v>43</v>
      </c>
      <c r="H94" s="8" t="s">
        <v>646</v>
      </c>
      <c r="I94" s="8" t="s">
        <v>112</v>
      </c>
      <c r="J94" s="8" t="s">
        <v>5</v>
      </c>
      <c r="K94" s="8" t="s">
        <v>643</v>
      </c>
      <c r="L94" s="8" t="s">
        <v>231</v>
      </c>
      <c r="M94" s="8" t="s">
        <v>595</v>
      </c>
      <c r="N94" s="8" t="n">
        <v>1.9</v>
      </c>
      <c r="O94" s="8" t="s">
        <v>116</v>
      </c>
    </row>
    <row r="95" customFormat="false" ht="43.25" hidden="false" customHeight="false" outlineLevel="0" collapsed="false">
      <c r="A95" s="8" t="s">
        <v>647</v>
      </c>
      <c r="B95" s="8" t="s">
        <v>82</v>
      </c>
      <c r="C95" s="8" t="s">
        <v>648</v>
      </c>
      <c r="D95" s="8" t="s">
        <v>639</v>
      </c>
      <c r="E95" s="8" t="s">
        <v>649</v>
      </c>
      <c r="F95" s="8" t="s">
        <v>650</v>
      </c>
      <c r="G95" s="8" t="s">
        <v>651</v>
      </c>
      <c r="H95" s="8" t="s">
        <v>652</v>
      </c>
      <c r="I95" s="8" t="s">
        <v>653</v>
      </c>
      <c r="J95" s="8" t="s">
        <v>8</v>
      </c>
      <c r="K95" s="8" t="s">
        <v>654</v>
      </c>
      <c r="L95" s="8" t="s">
        <v>231</v>
      </c>
      <c r="M95" s="8" t="s">
        <v>595</v>
      </c>
      <c r="N95" s="8"/>
      <c r="O95" s="8"/>
    </row>
    <row r="96" customFormat="false" ht="32.8" hidden="false" customHeight="false" outlineLevel="0" collapsed="false">
      <c r="A96" s="8" t="s">
        <v>655</v>
      </c>
      <c r="B96" s="8" t="s">
        <v>83</v>
      </c>
      <c r="C96" s="8" t="s">
        <v>656</v>
      </c>
      <c r="D96" s="8" t="s">
        <v>218</v>
      </c>
      <c r="E96" s="8" t="s">
        <v>657</v>
      </c>
      <c r="F96" s="8" t="s">
        <v>658</v>
      </c>
      <c r="G96" s="8" t="s">
        <v>659</v>
      </c>
      <c r="H96" s="8" t="s">
        <v>660</v>
      </c>
      <c r="I96" s="8" t="s">
        <v>112</v>
      </c>
      <c r="J96" s="8" t="s">
        <v>5</v>
      </c>
      <c r="K96" s="8" t="s">
        <v>661</v>
      </c>
      <c r="L96" s="8" t="s">
        <v>231</v>
      </c>
      <c r="M96" s="8" t="s">
        <v>595</v>
      </c>
      <c r="N96" s="8" t="n">
        <v>5</v>
      </c>
      <c r="O96" s="8" t="s">
        <v>116</v>
      </c>
    </row>
    <row r="97" customFormat="false" ht="22.35" hidden="false" customHeight="false" outlineLevel="0" collapsed="false">
      <c r="A97" s="8" t="s">
        <v>662</v>
      </c>
      <c r="B97" s="8" t="s">
        <v>83</v>
      </c>
      <c r="C97" s="8" t="s">
        <v>656</v>
      </c>
      <c r="D97" s="8" t="s">
        <v>218</v>
      </c>
      <c r="E97" s="8" t="s">
        <v>663</v>
      </c>
      <c r="F97" s="8" t="s">
        <v>43</v>
      </c>
      <c r="G97" s="8" t="s">
        <v>664</v>
      </c>
      <c r="H97" s="8" t="s">
        <v>665</v>
      </c>
      <c r="I97" s="8" t="s">
        <v>112</v>
      </c>
      <c r="J97" s="8" t="s">
        <v>5</v>
      </c>
      <c r="K97" s="8" t="s">
        <v>661</v>
      </c>
      <c r="L97" s="8" t="s">
        <v>231</v>
      </c>
      <c r="M97" s="8" t="s">
        <v>595</v>
      </c>
      <c r="N97" s="8" t="n">
        <v>2.6</v>
      </c>
      <c r="O97" s="8" t="s">
        <v>116</v>
      </c>
    </row>
    <row r="98" customFormat="false" ht="22.35" hidden="false" customHeight="false" outlineLevel="0" collapsed="false">
      <c r="A98" s="8" t="s">
        <v>666</v>
      </c>
      <c r="B98" s="8" t="s">
        <v>83</v>
      </c>
      <c r="C98" s="8" t="s">
        <v>656</v>
      </c>
      <c r="D98" s="8" t="s">
        <v>218</v>
      </c>
      <c r="E98" s="8" t="s">
        <v>667</v>
      </c>
      <c r="F98" s="8" t="s">
        <v>43</v>
      </c>
      <c r="G98" s="8" t="s">
        <v>668</v>
      </c>
      <c r="H98" s="8" t="s">
        <v>669</v>
      </c>
      <c r="I98" s="8" t="s">
        <v>112</v>
      </c>
      <c r="J98" s="8" t="s">
        <v>5</v>
      </c>
      <c r="K98" s="8" t="s">
        <v>661</v>
      </c>
      <c r="L98" s="8" t="s">
        <v>231</v>
      </c>
      <c r="M98" s="8" t="s">
        <v>595</v>
      </c>
      <c r="N98" s="8" t="n">
        <v>21.9</v>
      </c>
      <c r="O98" s="8" t="s">
        <v>116</v>
      </c>
    </row>
    <row r="99" customFormat="false" ht="22.35" hidden="false" customHeight="false" outlineLevel="0" collapsed="false">
      <c r="A99" s="8" t="s">
        <v>670</v>
      </c>
      <c r="B99" s="8" t="s">
        <v>83</v>
      </c>
      <c r="C99" s="8" t="s">
        <v>671</v>
      </c>
      <c r="D99" s="8" t="s">
        <v>672</v>
      </c>
      <c r="E99" s="8" t="s">
        <v>673</v>
      </c>
      <c r="F99" s="8" t="s">
        <v>674</v>
      </c>
      <c r="G99" s="8" t="s">
        <v>675</v>
      </c>
      <c r="H99" s="8" t="s">
        <v>676</v>
      </c>
      <c r="I99" s="8" t="s">
        <v>112</v>
      </c>
      <c r="J99" s="8" t="s">
        <v>5</v>
      </c>
      <c r="K99" s="8" t="s">
        <v>677</v>
      </c>
      <c r="L99" s="8" t="s">
        <v>231</v>
      </c>
      <c r="M99" s="8" t="s">
        <v>595</v>
      </c>
      <c r="N99" s="8" t="n">
        <v>99.1</v>
      </c>
      <c r="O99" s="8" t="s">
        <v>116</v>
      </c>
    </row>
    <row r="100" customFormat="false" ht="22.35" hidden="false" customHeight="false" outlineLevel="0" collapsed="false">
      <c r="A100" s="8" t="s">
        <v>678</v>
      </c>
      <c r="B100" s="8" t="s">
        <v>83</v>
      </c>
      <c r="C100" s="8" t="s">
        <v>671</v>
      </c>
      <c r="D100" s="8" t="s">
        <v>672</v>
      </c>
      <c r="E100" s="8" t="s">
        <v>679</v>
      </c>
      <c r="F100" s="8" t="s">
        <v>43</v>
      </c>
      <c r="G100" s="8" t="s">
        <v>680</v>
      </c>
      <c r="H100" s="8" t="s">
        <v>681</v>
      </c>
      <c r="I100" s="8" t="s">
        <v>112</v>
      </c>
      <c r="J100" s="8" t="s">
        <v>5</v>
      </c>
      <c r="K100" s="8" t="s">
        <v>677</v>
      </c>
      <c r="L100" s="8" t="s">
        <v>231</v>
      </c>
      <c r="M100" s="8" t="s">
        <v>595</v>
      </c>
      <c r="N100" s="8" t="n">
        <v>3.8</v>
      </c>
      <c r="O100" s="8" t="s">
        <v>116</v>
      </c>
    </row>
    <row r="101" customFormat="false" ht="22.35" hidden="false" customHeight="false" outlineLevel="0" collapsed="false">
      <c r="A101" s="8" t="s">
        <v>682</v>
      </c>
      <c r="B101" s="8" t="s">
        <v>83</v>
      </c>
      <c r="C101" s="8" t="s">
        <v>683</v>
      </c>
      <c r="D101" s="8" t="s">
        <v>218</v>
      </c>
      <c r="E101" s="8" t="s">
        <v>684</v>
      </c>
      <c r="F101" s="8" t="s">
        <v>43</v>
      </c>
      <c r="G101" s="8" t="s">
        <v>685</v>
      </c>
      <c r="H101" s="8" t="s">
        <v>686</v>
      </c>
      <c r="I101" s="8" t="s">
        <v>112</v>
      </c>
      <c r="J101" s="8" t="s">
        <v>5</v>
      </c>
      <c r="K101" s="8" t="s">
        <v>687</v>
      </c>
      <c r="L101" s="8" t="s">
        <v>231</v>
      </c>
      <c r="M101" s="8" t="s">
        <v>595</v>
      </c>
      <c r="N101" s="8" t="n">
        <v>2.4</v>
      </c>
      <c r="O101" s="8" t="s">
        <v>116</v>
      </c>
    </row>
    <row r="102" customFormat="false" ht="43.25" hidden="false" customHeight="false" outlineLevel="0" collapsed="false">
      <c r="A102" s="8" t="s">
        <v>688</v>
      </c>
      <c r="B102" s="8" t="s">
        <v>84</v>
      </c>
      <c r="C102" s="8" t="s">
        <v>689</v>
      </c>
      <c r="D102" s="8" t="s">
        <v>218</v>
      </c>
      <c r="E102" s="8" t="s">
        <v>690</v>
      </c>
      <c r="F102" s="8" t="s">
        <v>43</v>
      </c>
      <c r="G102" s="8" t="s">
        <v>691</v>
      </c>
      <c r="H102" s="8" t="s">
        <v>692</v>
      </c>
      <c r="I102" s="8" t="s">
        <v>112</v>
      </c>
      <c r="J102" s="8" t="s">
        <v>5</v>
      </c>
      <c r="K102" s="8" t="s">
        <v>693</v>
      </c>
      <c r="L102" s="8" t="s">
        <v>114</v>
      </c>
      <c r="M102" s="8" t="s">
        <v>595</v>
      </c>
      <c r="N102" s="8" t="n">
        <v>23.4</v>
      </c>
      <c r="O102" s="8" t="s">
        <v>116</v>
      </c>
    </row>
    <row r="103" customFormat="false" ht="43.25" hidden="false" customHeight="false" outlineLevel="0" collapsed="false">
      <c r="A103" s="8" t="s">
        <v>694</v>
      </c>
      <c r="B103" s="8" t="s">
        <v>84</v>
      </c>
      <c r="C103" s="8" t="s">
        <v>695</v>
      </c>
      <c r="D103" s="8" t="s">
        <v>218</v>
      </c>
      <c r="E103" s="8" t="s">
        <v>696</v>
      </c>
      <c r="F103" s="8" t="s">
        <v>43</v>
      </c>
      <c r="G103" s="8" t="s">
        <v>697</v>
      </c>
      <c r="H103" s="8" t="s">
        <v>698</v>
      </c>
      <c r="I103" s="8" t="s">
        <v>112</v>
      </c>
      <c r="J103" s="8" t="s">
        <v>5</v>
      </c>
      <c r="K103" s="8" t="s">
        <v>699</v>
      </c>
      <c r="L103" s="8" t="s">
        <v>114</v>
      </c>
      <c r="M103" s="8" t="s">
        <v>595</v>
      </c>
      <c r="N103" s="8" t="n">
        <v>5.9</v>
      </c>
      <c r="O103" s="8" t="s">
        <v>116</v>
      </c>
    </row>
    <row r="104" customFormat="false" ht="22.35" hidden="false" customHeight="false" outlineLevel="0" collapsed="false">
      <c r="A104" s="8" t="s">
        <v>700</v>
      </c>
      <c r="B104" s="8" t="s">
        <v>84</v>
      </c>
      <c r="C104" s="8" t="s">
        <v>701</v>
      </c>
      <c r="D104" s="8" t="s">
        <v>247</v>
      </c>
      <c r="E104" s="8" t="s">
        <v>702</v>
      </c>
      <c r="F104" s="8" t="s">
        <v>703</v>
      </c>
      <c r="G104" s="8" t="s">
        <v>704</v>
      </c>
      <c r="H104" s="8" t="s">
        <v>705</v>
      </c>
      <c r="I104" s="8" t="s">
        <v>112</v>
      </c>
      <c r="J104" s="8" t="s">
        <v>5</v>
      </c>
      <c r="K104" s="8" t="s">
        <v>706</v>
      </c>
      <c r="L104" s="8" t="s">
        <v>114</v>
      </c>
      <c r="M104" s="8" t="s">
        <v>595</v>
      </c>
      <c r="N104" s="8" t="n">
        <v>78.7</v>
      </c>
      <c r="O104" s="8" t="s">
        <v>116</v>
      </c>
    </row>
    <row r="105" customFormat="false" ht="53.7" hidden="false" customHeight="false" outlineLevel="0" collapsed="false">
      <c r="A105" s="8" t="s">
        <v>707</v>
      </c>
      <c r="B105" s="8" t="s">
        <v>84</v>
      </c>
      <c r="C105" s="8" t="s">
        <v>701</v>
      </c>
      <c r="D105" s="8" t="s">
        <v>247</v>
      </c>
      <c r="E105" s="8" t="s">
        <v>708</v>
      </c>
      <c r="F105" s="8" t="s">
        <v>709</v>
      </c>
      <c r="G105" s="8" t="s">
        <v>710</v>
      </c>
      <c r="H105" s="8" t="s">
        <v>711</v>
      </c>
      <c r="I105" s="8" t="s">
        <v>112</v>
      </c>
      <c r="J105" s="8" t="s">
        <v>5</v>
      </c>
      <c r="K105" s="8" t="s">
        <v>706</v>
      </c>
      <c r="L105" s="8" t="s">
        <v>114</v>
      </c>
      <c r="M105" s="8" t="s">
        <v>595</v>
      </c>
      <c r="N105" s="8" t="n">
        <v>10.4</v>
      </c>
      <c r="O105" s="8" t="s">
        <v>116</v>
      </c>
    </row>
    <row r="106" customFormat="false" ht="32.8" hidden="false" customHeight="false" outlineLevel="0" collapsed="false">
      <c r="A106" s="8" t="s">
        <v>712</v>
      </c>
      <c r="B106" s="8" t="s">
        <v>84</v>
      </c>
      <c r="C106" s="8" t="s">
        <v>713</v>
      </c>
      <c r="D106" s="8" t="s">
        <v>714</v>
      </c>
      <c r="E106" s="8" t="s">
        <v>715</v>
      </c>
      <c r="F106" s="8" t="s">
        <v>716</v>
      </c>
      <c r="G106" s="8" t="s">
        <v>717</v>
      </c>
      <c r="H106" s="8" t="s">
        <v>718</v>
      </c>
      <c r="I106" s="8" t="s">
        <v>112</v>
      </c>
      <c r="J106" s="8" t="s">
        <v>5</v>
      </c>
      <c r="K106" s="8" t="s">
        <v>719</v>
      </c>
      <c r="L106" s="8" t="s">
        <v>114</v>
      </c>
      <c r="M106" s="8" t="s">
        <v>595</v>
      </c>
      <c r="N106" s="8" t="n">
        <v>67.5</v>
      </c>
      <c r="O106" s="8" t="s">
        <v>116</v>
      </c>
    </row>
    <row r="107" customFormat="false" ht="22.35" hidden="false" customHeight="false" outlineLevel="0" collapsed="false">
      <c r="A107" s="8" t="s">
        <v>720</v>
      </c>
      <c r="B107" s="8" t="s">
        <v>85</v>
      </c>
      <c r="C107" s="8" t="s">
        <v>721</v>
      </c>
      <c r="D107" s="8" t="s">
        <v>722</v>
      </c>
      <c r="E107" s="8" t="s">
        <v>723</v>
      </c>
      <c r="F107" s="8" t="s">
        <v>43</v>
      </c>
      <c r="G107" s="8" t="s">
        <v>724</v>
      </c>
      <c r="H107" s="8" t="s">
        <v>725</v>
      </c>
      <c r="I107" s="8" t="s">
        <v>112</v>
      </c>
      <c r="J107" s="8" t="s">
        <v>5</v>
      </c>
      <c r="K107" s="8" t="s">
        <v>726</v>
      </c>
      <c r="L107" s="8" t="s">
        <v>114</v>
      </c>
      <c r="M107" s="8" t="s">
        <v>595</v>
      </c>
      <c r="N107" s="8" t="n">
        <v>2.8</v>
      </c>
      <c r="O107" s="8" t="s">
        <v>116</v>
      </c>
    </row>
    <row r="108" customFormat="false" ht="22.35" hidden="false" customHeight="false" outlineLevel="0" collapsed="false">
      <c r="A108" s="8" t="s">
        <v>727</v>
      </c>
      <c r="B108" s="8" t="s">
        <v>85</v>
      </c>
      <c r="C108" s="8" t="s">
        <v>721</v>
      </c>
      <c r="D108" s="8" t="s">
        <v>722</v>
      </c>
      <c r="E108" s="8" t="s">
        <v>728</v>
      </c>
      <c r="F108" s="8" t="s">
        <v>43</v>
      </c>
      <c r="G108" s="8" t="s">
        <v>729</v>
      </c>
      <c r="H108" s="8" t="s">
        <v>730</v>
      </c>
      <c r="I108" s="8" t="s">
        <v>112</v>
      </c>
      <c r="J108" s="8" t="s">
        <v>5</v>
      </c>
      <c r="K108" s="8" t="s">
        <v>726</v>
      </c>
      <c r="L108" s="8" t="s">
        <v>114</v>
      </c>
      <c r="M108" s="8" t="s">
        <v>595</v>
      </c>
      <c r="N108" s="8" t="n">
        <v>2.7</v>
      </c>
      <c r="O108" s="8" t="s">
        <v>116</v>
      </c>
    </row>
    <row r="109" customFormat="false" ht="32.8" hidden="false" customHeight="false" outlineLevel="0" collapsed="false">
      <c r="A109" s="8" t="s">
        <v>731</v>
      </c>
      <c r="B109" s="8" t="s">
        <v>85</v>
      </c>
      <c r="C109" s="8" t="s">
        <v>732</v>
      </c>
      <c r="D109" s="8" t="s">
        <v>722</v>
      </c>
      <c r="E109" s="8" t="s">
        <v>733</v>
      </c>
      <c r="F109" s="8" t="s">
        <v>43</v>
      </c>
      <c r="G109" s="8" t="s">
        <v>734</v>
      </c>
      <c r="H109" s="8" t="s">
        <v>735</v>
      </c>
      <c r="I109" s="8" t="s">
        <v>112</v>
      </c>
      <c r="J109" s="8" t="s">
        <v>5</v>
      </c>
      <c r="K109" s="8" t="s">
        <v>736</v>
      </c>
      <c r="L109" s="8" t="s">
        <v>231</v>
      </c>
      <c r="M109" s="8" t="s">
        <v>595</v>
      </c>
      <c r="N109" s="8" t="n">
        <v>10.4</v>
      </c>
      <c r="O109" s="8" t="s">
        <v>116</v>
      </c>
    </row>
    <row r="110" customFormat="false" ht="22.35" hidden="false" customHeight="false" outlineLevel="0" collapsed="false">
      <c r="A110" s="8" t="s">
        <v>737</v>
      </c>
      <c r="B110" s="8" t="s">
        <v>85</v>
      </c>
      <c r="C110" s="8" t="s">
        <v>738</v>
      </c>
      <c r="D110" s="8" t="s">
        <v>739</v>
      </c>
      <c r="E110" s="8" t="s">
        <v>740</v>
      </c>
      <c r="F110" s="8" t="s">
        <v>741</v>
      </c>
      <c r="G110" s="8" t="s">
        <v>742</v>
      </c>
      <c r="H110" s="8" t="s">
        <v>743</v>
      </c>
      <c r="I110" s="8" t="s">
        <v>112</v>
      </c>
      <c r="J110" s="8" t="s">
        <v>5</v>
      </c>
      <c r="K110" s="8" t="s">
        <v>744</v>
      </c>
      <c r="L110" s="8" t="s">
        <v>114</v>
      </c>
      <c r="M110" s="8" t="s">
        <v>595</v>
      </c>
      <c r="N110" s="8" t="n">
        <v>2.4</v>
      </c>
      <c r="O110" s="8" t="s">
        <v>116</v>
      </c>
    </row>
    <row r="111" customFormat="false" ht="43.25" hidden="false" customHeight="false" outlineLevel="0" collapsed="false">
      <c r="A111" s="8" t="s">
        <v>745</v>
      </c>
      <c r="B111" s="8" t="s">
        <v>85</v>
      </c>
      <c r="C111" s="8" t="s">
        <v>738</v>
      </c>
      <c r="D111" s="8" t="s">
        <v>739</v>
      </c>
      <c r="E111" s="8" t="s">
        <v>746</v>
      </c>
      <c r="F111" s="8" t="s">
        <v>43</v>
      </c>
      <c r="G111" s="8" t="s">
        <v>747</v>
      </c>
      <c r="H111" s="8" t="s">
        <v>748</v>
      </c>
      <c r="I111" s="8" t="s">
        <v>112</v>
      </c>
      <c r="J111" s="8" t="s">
        <v>5</v>
      </c>
      <c r="K111" s="8" t="s">
        <v>744</v>
      </c>
      <c r="L111" s="8" t="s">
        <v>114</v>
      </c>
      <c r="M111" s="8" t="s">
        <v>595</v>
      </c>
      <c r="N111" s="8" t="n">
        <v>56.4</v>
      </c>
      <c r="O111" s="8" t="s">
        <v>116</v>
      </c>
    </row>
    <row r="112" customFormat="false" ht="43.25" hidden="false" customHeight="false" outlineLevel="0" collapsed="false">
      <c r="A112" s="8" t="s">
        <v>749</v>
      </c>
      <c r="B112" s="8" t="s">
        <v>85</v>
      </c>
      <c r="C112" s="8" t="s">
        <v>750</v>
      </c>
      <c r="D112" s="8" t="s">
        <v>722</v>
      </c>
      <c r="E112" s="8" t="s">
        <v>751</v>
      </c>
      <c r="F112" s="8" t="s">
        <v>43</v>
      </c>
      <c r="G112" s="8" t="s">
        <v>752</v>
      </c>
      <c r="H112" s="8" t="s">
        <v>753</v>
      </c>
      <c r="I112" s="8" t="s">
        <v>112</v>
      </c>
      <c r="J112" s="8" t="s">
        <v>5</v>
      </c>
      <c r="K112" s="8" t="s">
        <v>754</v>
      </c>
      <c r="L112" s="8" t="s">
        <v>114</v>
      </c>
      <c r="M112" s="8" t="s">
        <v>595</v>
      </c>
      <c r="N112" s="8" t="n">
        <v>3.4</v>
      </c>
      <c r="O112" s="8" t="s">
        <v>116</v>
      </c>
    </row>
    <row r="113" customFormat="false" ht="22.35" hidden="false" customHeight="false" outlineLevel="0" collapsed="false">
      <c r="A113" s="8" t="s">
        <v>755</v>
      </c>
      <c r="B113" s="8" t="s">
        <v>85</v>
      </c>
      <c r="C113" s="8" t="s">
        <v>756</v>
      </c>
      <c r="D113" s="8" t="s">
        <v>739</v>
      </c>
      <c r="E113" s="8" t="s">
        <v>757</v>
      </c>
      <c r="F113" s="8" t="s">
        <v>43</v>
      </c>
      <c r="G113" s="8" t="s">
        <v>758</v>
      </c>
      <c r="H113" s="8" t="s">
        <v>759</v>
      </c>
      <c r="I113" s="8" t="s">
        <v>112</v>
      </c>
      <c r="J113" s="8" t="s">
        <v>5</v>
      </c>
      <c r="K113" s="8" t="s">
        <v>760</v>
      </c>
      <c r="L113" s="8" t="s">
        <v>114</v>
      </c>
      <c r="M113" s="8" t="s">
        <v>595</v>
      </c>
      <c r="N113" s="8" t="n">
        <v>4.6</v>
      </c>
      <c r="O113" s="8" t="s">
        <v>116</v>
      </c>
    </row>
    <row r="114" customFormat="false" ht="22.35" hidden="false" customHeight="false" outlineLevel="0" collapsed="false">
      <c r="A114" s="8" t="s">
        <v>761</v>
      </c>
      <c r="B114" s="8" t="s">
        <v>85</v>
      </c>
      <c r="C114" s="8" t="s">
        <v>762</v>
      </c>
      <c r="D114" s="8" t="s">
        <v>590</v>
      </c>
      <c r="E114" s="8" t="s">
        <v>763</v>
      </c>
      <c r="F114" s="8" t="s">
        <v>43</v>
      </c>
      <c r="G114" s="8" t="s">
        <v>764</v>
      </c>
      <c r="H114" s="8" t="s">
        <v>765</v>
      </c>
      <c r="I114" s="8" t="s">
        <v>112</v>
      </c>
      <c r="J114" s="8" t="s">
        <v>5</v>
      </c>
      <c r="K114" s="8" t="s">
        <v>766</v>
      </c>
      <c r="L114" s="8" t="s">
        <v>114</v>
      </c>
      <c r="M114" s="8" t="s">
        <v>595</v>
      </c>
      <c r="N114" s="8" t="n">
        <v>3</v>
      </c>
      <c r="O114" s="8" t="s">
        <v>116</v>
      </c>
    </row>
    <row r="115" customFormat="false" ht="43.25" hidden="false" customHeight="false" outlineLevel="0" collapsed="false">
      <c r="A115" s="8" t="s">
        <v>767</v>
      </c>
      <c r="B115" s="8" t="s">
        <v>86</v>
      </c>
      <c r="C115" s="8" t="s">
        <v>768</v>
      </c>
      <c r="D115" s="8" t="s">
        <v>769</v>
      </c>
      <c r="E115" s="8" t="s">
        <v>770</v>
      </c>
      <c r="F115" s="8" t="s">
        <v>43</v>
      </c>
      <c r="G115" s="8" t="s">
        <v>771</v>
      </c>
      <c r="H115" s="8" t="s">
        <v>772</v>
      </c>
      <c r="I115" s="8" t="s">
        <v>112</v>
      </c>
      <c r="J115" s="8" t="s">
        <v>5</v>
      </c>
      <c r="K115" s="8" t="s">
        <v>773</v>
      </c>
      <c r="L115" s="8" t="s">
        <v>114</v>
      </c>
      <c r="M115" s="8" t="s">
        <v>595</v>
      </c>
      <c r="N115" s="8" t="n">
        <v>66.3</v>
      </c>
      <c r="O115" s="8" t="s">
        <v>116</v>
      </c>
    </row>
    <row r="116" customFormat="false" ht="22.35" hidden="false" customHeight="false" outlineLevel="0" collapsed="false">
      <c r="A116" s="8" t="s">
        <v>774</v>
      </c>
      <c r="B116" s="8" t="s">
        <v>86</v>
      </c>
      <c r="C116" s="8" t="s">
        <v>768</v>
      </c>
      <c r="D116" s="8" t="s">
        <v>769</v>
      </c>
      <c r="E116" s="8" t="s">
        <v>775</v>
      </c>
      <c r="F116" s="8" t="s">
        <v>776</v>
      </c>
      <c r="G116" s="8" t="s">
        <v>43</v>
      </c>
      <c r="H116" s="8" t="s">
        <v>777</v>
      </c>
      <c r="I116" s="8" t="s">
        <v>112</v>
      </c>
      <c r="J116" s="8" t="s">
        <v>5</v>
      </c>
      <c r="K116" s="8" t="s">
        <v>773</v>
      </c>
      <c r="L116" s="8" t="s">
        <v>114</v>
      </c>
      <c r="M116" s="8" t="s">
        <v>595</v>
      </c>
      <c r="N116" s="8" t="n">
        <v>95.4</v>
      </c>
      <c r="O116" s="8" t="s">
        <v>116</v>
      </c>
    </row>
    <row r="117" customFormat="false" ht="32.8" hidden="false" customHeight="false" outlineLevel="0" collapsed="false">
      <c r="A117" s="8" t="s">
        <v>778</v>
      </c>
      <c r="B117" s="8" t="s">
        <v>86</v>
      </c>
      <c r="C117" s="8" t="s">
        <v>779</v>
      </c>
      <c r="D117" s="8" t="s">
        <v>780</v>
      </c>
      <c r="E117" s="8" t="s">
        <v>781</v>
      </c>
      <c r="F117" s="8" t="s">
        <v>43</v>
      </c>
      <c r="G117" s="8" t="s">
        <v>782</v>
      </c>
      <c r="H117" s="8" t="s">
        <v>783</v>
      </c>
      <c r="I117" s="8" t="s">
        <v>112</v>
      </c>
      <c r="J117" s="8" t="s">
        <v>5</v>
      </c>
      <c r="K117" s="8" t="s">
        <v>784</v>
      </c>
      <c r="L117" s="8" t="s">
        <v>114</v>
      </c>
      <c r="M117" s="8" t="s">
        <v>595</v>
      </c>
      <c r="N117" s="8" t="n">
        <v>314</v>
      </c>
      <c r="O117" s="8" t="s">
        <v>116</v>
      </c>
    </row>
    <row r="118" customFormat="false" ht="32.8" hidden="false" customHeight="false" outlineLevel="0" collapsed="false">
      <c r="A118" s="8" t="s">
        <v>785</v>
      </c>
      <c r="B118" s="8" t="s">
        <v>86</v>
      </c>
      <c r="C118" s="8" t="s">
        <v>786</v>
      </c>
      <c r="D118" s="8" t="s">
        <v>787</v>
      </c>
      <c r="E118" s="8" t="s">
        <v>788</v>
      </c>
      <c r="F118" s="8" t="s">
        <v>43</v>
      </c>
      <c r="G118" s="8" t="s">
        <v>789</v>
      </c>
      <c r="H118" s="8" t="s">
        <v>790</v>
      </c>
      <c r="I118" s="8" t="s">
        <v>112</v>
      </c>
      <c r="J118" s="8" t="s">
        <v>5</v>
      </c>
      <c r="K118" s="8" t="s">
        <v>791</v>
      </c>
      <c r="L118" s="8" t="s">
        <v>114</v>
      </c>
      <c r="M118" s="8" t="s">
        <v>595</v>
      </c>
      <c r="N118" s="8" t="n">
        <v>100.8</v>
      </c>
      <c r="O118" s="8" t="s">
        <v>116</v>
      </c>
    </row>
    <row r="119" customFormat="false" ht="22.35" hidden="false" customHeight="false" outlineLevel="0" collapsed="false">
      <c r="A119" s="8" t="s">
        <v>792</v>
      </c>
      <c r="B119" s="8" t="s">
        <v>86</v>
      </c>
      <c r="C119" s="8" t="s">
        <v>786</v>
      </c>
      <c r="D119" s="8" t="s">
        <v>787</v>
      </c>
      <c r="E119" s="8" t="s">
        <v>793</v>
      </c>
      <c r="F119" s="8" t="s">
        <v>43</v>
      </c>
      <c r="G119" s="8" t="s">
        <v>794</v>
      </c>
      <c r="H119" s="8" t="s">
        <v>795</v>
      </c>
      <c r="I119" s="8" t="s">
        <v>112</v>
      </c>
      <c r="J119" s="8" t="s">
        <v>5</v>
      </c>
      <c r="K119" s="8" t="s">
        <v>791</v>
      </c>
      <c r="L119" s="8" t="s">
        <v>114</v>
      </c>
      <c r="M119" s="8" t="s">
        <v>595</v>
      </c>
      <c r="N119" s="8" t="n">
        <v>3.1</v>
      </c>
      <c r="O119" s="8" t="s">
        <v>116</v>
      </c>
    </row>
    <row r="120" customFormat="false" ht="22.35" hidden="false" customHeight="false" outlineLevel="0" collapsed="false">
      <c r="A120" s="8" t="s">
        <v>796</v>
      </c>
      <c r="B120" s="8" t="s">
        <v>86</v>
      </c>
      <c r="C120" s="8" t="s">
        <v>786</v>
      </c>
      <c r="D120" s="8" t="s">
        <v>787</v>
      </c>
      <c r="E120" s="8" t="s">
        <v>797</v>
      </c>
      <c r="F120" s="8" t="s">
        <v>798</v>
      </c>
      <c r="G120" s="8" t="s">
        <v>799</v>
      </c>
      <c r="H120" s="8" t="s">
        <v>800</v>
      </c>
      <c r="I120" s="8" t="s">
        <v>112</v>
      </c>
      <c r="J120" s="8" t="s">
        <v>5</v>
      </c>
      <c r="K120" s="8" t="s">
        <v>791</v>
      </c>
      <c r="L120" s="8" t="s">
        <v>114</v>
      </c>
      <c r="M120" s="8" t="s">
        <v>595</v>
      </c>
      <c r="N120" s="8" t="n">
        <v>14</v>
      </c>
      <c r="O120" s="8" t="s">
        <v>116</v>
      </c>
    </row>
    <row r="121" customFormat="false" ht="22.35" hidden="false" customHeight="false" outlineLevel="0" collapsed="false">
      <c r="A121" s="8" t="s">
        <v>801</v>
      </c>
      <c r="B121" s="8" t="s">
        <v>86</v>
      </c>
      <c r="C121" s="8" t="s">
        <v>802</v>
      </c>
      <c r="D121" s="8" t="s">
        <v>803</v>
      </c>
      <c r="E121" s="8" t="s">
        <v>804</v>
      </c>
      <c r="F121" s="8" t="s">
        <v>43</v>
      </c>
      <c r="G121" s="8" t="s">
        <v>805</v>
      </c>
      <c r="H121" s="8" t="s">
        <v>806</v>
      </c>
      <c r="I121" s="8" t="s">
        <v>112</v>
      </c>
      <c r="J121" s="8" t="s">
        <v>5</v>
      </c>
      <c r="K121" s="8" t="s">
        <v>807</v>
      </c>
      <c r="L121" s="8" t="s">
        <v>114</v>
      </c>
      <c r="M121" s="8" t="s">
        <v>595</v>
      </c>
      <c r="N121" s="8" t="n">
        <v>52.5</v>
      </c>
      <c r="O121" s="8" t="s">
        <v>116</v>
      </c>
    </row>
    <row r="122" customFormat="false" ht="22.35" hidden="false" customHeight="false" outlineLevel="0" collapsed="false">
      <c r="A122" s="8" t="s">
        <v>808</v>
      </c>
      <c r="B122" s="8" t="s">
        <v>86</v>
      </c>
      <c r="C122" s="8" t="s">
        <v>802</v>
      </c>
      <c r="D122" s="8" t="s">
        <v>803</v>
      </c>
      <c r="E122" s="8" t="s">
        <v>809</v>
      </c>
      <c r="F122" s="8" t="s">
        <v>810</v>
      </c>
      <c r="G122" s="8" t="s">
        <v>43</v>
      </c>
      <c r="H122" s="8" t="s">
        <v>811</v>
      </c>
      <c r="I122" s="8" t="s">
        <v>112</v>
      </c>
      <c r="J122" s="8" t="s">
        <v>5</v>
      </c>
      <c r="K122" s="8" t="s">
        <v>807</v>
      </c>
      <c r="L122" s="8" t="s">
        <v>114</v>
      </c>
      <c r="M122" s="8" t="s">
        <v>595</v>
      </c>
      <c r="N122" s="8" t="n">
        <v>0.3</v>
      </c>
      <c r="O122" s="8" t="s">
        <v>116</v>
      </c>
    </row>
    <row r="123" customFormat="false" ht="64.15" hidden="false" customHeight="false" outlineLevel="0" collapsed="false">
      <c r="A123" s="8" t="s">
        <v>812</v>
      </c>
      <c r="B123" s="8" t="s">
        <v>87</v>
      </c>
      <c r="C123" s="8" t="s">
        <v>813</v>
      </c>
      <c r="D123" s="8" t="s">
        <v>814</v>
      </c>
      <c r="E123" s="8" t="s">
        <v>815</v>
      </c>
      <c r="F123" s="8" t="s">
        <v>43</v>
      </c>
      <c r="G123" s="8" t="s">
        <v>816</v>
      </c>
      <c r="H123" s="8" t="s">
        <v>817</v>
      </c>
      <c r="I123" s="8" t="s">
        <v>112</v>
      </c>
      <c r="J123" s="8" t="s">
        <v>5</v>
      </c>
      <c r="K123" s="8" t="s">
        <v>818</v>
      </c>
      <c r="L123" s="8" t="s">
        <v>114</v>
      </c>
      <c r="M123" s="8" t="s">
        <v>595</v>
      </c>
      <c r="N123" s="8" t="n">
        <v>54</v>
      </c>
      <c r="O123" s="8" t="s">
        <v>116</v>
      </c>
    </row>
    <row r="124" customFormat="false" ht="32.8" hidden="false" customHeight="false" outlineLevel="0" collapsed="false">
      <c r="A124" s="8" t="s">
        <v>819</v>
      </c>
      <c r="B124" s="8" t="s">
        <v>87</v>
      </c>
      <c r="C124" s="8" t="s">
        <v>820</v>
      </c>
      <c r="D124" s="8" t="s">
        <v>821</v>
      </c>
      <c r="E124" s="8" t="s">
        <v>100</v>
      </c>
      <c r="F124" s="8" t="s">
        <v>43</v>
      </c>
      <c r="G124" s="8" t="s">
        <v>822</v>
      </c>
      <c r="H124" s="8" t="s">
        <v>823</v>
      </c>
      <c r="I124" s="8" t="s">
        <v>112</v>
      </c>
      <c r="J124" s="8" t="s">
        <v>5</v>
      </c>
      <c r="K124" s="8" t="s">
        <v>824</v>
      </c>
      <c r="L124" s="8" t="s">
        <v>114</v>
      </c>
      <c r="M124" s="8" t="s">
        <v>595</v>
      </c>
      <c r="N124" s="8" t="n">
        <v>53.1</v>
      </c>
      <c r="O124" s="8" t="s">
        <v>116</v>
      </c>
    </row>
    <row r="125" customFormat="false" ht="32.8" hidden="false" customHeight="false" outlineLevel="0" collapsed="false">
      <c r="A125" s="8" t="s">
        <v>825</v>
      </c>
      <c r="B125" s="8" t="s">
        <v>87</v>
      </c>
      <c r="C125" s="8" t="s">
        <v>820</v>
      </c>
      <c r="D125" s="8" t="s">
        <v>821</v>
      </c>
      <c r="E125" s="8" t="s">
        <v>826</v>
      </c>
      <c r="F125" s="8" t="s">
        <v>43</v>
      </c>
      <c r="G125" s="8" t="s">
        <v>827</v>
      </c>
      <c r="H125" s="8" t="s">
        <v>828</v>
      </c>
      <c r="I125" s="8" t="s">
        <v>112</v>
      </c>
      <c r="J125" s="8" t="s">
        <v>5</v>
      </c>
      <c r="K125" s="8" t="s">
        <v>824</v>
      </c>
      <c r="L125" s="8" t="s">
        <v>114</v>
      </c>
      <c r="M125" s="8" t="s">
        <v>595</v>
      </c>
      <c r="N125" s="8" t="n">
        <v>2.9</v>
      </c>
      <c r="O125" s="8" t="s">
        <v>116</v>
      </c>
    </row>
    <row r="126" customFormat="false" ht="43.25" hidden="false" customHeight="false" outlineLevel="0" collapsed="false">
      <c r="A126" s="8" t="s">
        <v>829</v>
      </c>
      <c r="B126" s="8" t="s">
        <v>87</v>
      </c>
      <c r="C126" s="8" t="s">
        <v>830</v>
      </c>
      <c r="D126" s="8" t="s">
        <v>247</v>
      </c>
      <c r="E126" s="8" t="s">
        <v>831</v>
      </c>
      <c r="F126" s="8" t="s">
        <v>43</v>
      </c>
      <c r="G126" s="8" t="s">
        <v>832</v>
      </c>
      <c r="H126" s="8" t="s">
        <v>833</v>
      </c>
      <c r="I126" s="8" t="s">
        <v>112</v>
      </c>
      <c r="J126" s="8" t="s">
        <v>5</v>
      </c>
      <c r="K126" s="8" t="s">
        <v>834</v>
      </c>
      <c r="L126" s="8" t="s">
        <v>114</v>
      </c>
      <c r="M126" s="8" t="s">
        <v>595</v>
      </c>
      <c r="N126" s="8" t="n">
        <v>3.2</v>
      </c>
      <c r="O126" s="8" t="s">
        <v>116</v>
      </c>
    </row>
    <row r="127" customFormat="false" ht="32.8" hidden="false" customHeight="false" outlineLevel="0" collapsed="false">
      <c r="A127" s="8" t="s">
        <v>835</v>
      </c>
      <c r="B127" s="8" t="s">
        <v>87</v>
      </c>
      <c r="C127" s="8" t="s">
        <v>836</v>
      </c>
      <c r="D127" s="8" t="s">
        <v>184</v>
      </c>
      <c r="E127" s="8" t="s">
        <v>837</v>
      </c>
      <c r="F127" s="8" t="s">
        <v>43</v>
      </c>
      <c r="G127" s="8" t="s">
        <v>838</v>
      </c>
      <c r="H127" s="8" t="s">
        <v>839</v>
      </c>
      <c r="I127" s="8" t="s">
        <v>840</v>
      </c>
      <c r="J127" s="8" t="s">
        <v>8</v>
      </c>
      <c r="K127" s="8" t="s">
        <v>841</v>
      </c>
      <c r="L127" s="8" t="s">
        <v>114</v>
      </c>
      <c r="M127" s="8" t="s">
        <v>595</v>
      </c>
      <c r="N127" s="8"/>
      <c r="O127" s="8"/>
    </row>
    <row r="128" customFormat="false" ht="53.7" hidden="false" customHeight="false" outlineLevel="0" collapsed="false">
      <c r="A128" s="8" t="s">
        <v>842</v>
      </c>
      <c r="B128" s="8" t="s">
        <v>87</v>
      </c>
      <c r="C128" s="8" t="s">
        <v>843</v>
      </c>
      <c r="D128" s="8" t="s">
        <v>844</v>
      </c>
      <c r="E128" s="8" t="s">
        <v>845</v>
      </c>
      <c r="F128" s="8" t="s">
        <v>43</v>
      </c>
      <c r="G128" s="8" t="s">
        <v>846</v>
      </c>
      <c r="H128" s="8" t="s">
        <v>847</v>
      </c>
      <c r="I128" s="8" t="s">
        <v>848</v>
      </c>
      <c r="J128" s="8" t="s">
        <v>8</v>
      </c>
      <c r="K128" s="8" t="s">
        <v>849</v>
      </c>
      <c r="L128" s="8" t="s">
        <v>114</v>
      </c>
      <c r="M128" s="8" t="s">
        <v>595</v>
      </c>
      <c r="N128" s="8"/>
      <c r="O128" s="8"/>
    </row>
  </sheetData>
  <autoFilter ref="A4:O128"/>
  <conditionalFormatting sqref="J5:J128">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"Blocked"</formula>
    </cfRule>
    <cfRule type="cellIs" priority="5" operator="equal" aboveAverage="0" equalAverage="0" bottom="0" percent="0" rank="0" text="" dxfId="8">
      <formula>"Not Run"</formula>
    </cfRule>
  </conditionalFormatting>
  <dataValidations count="1">
    <dataValidation allowBlank="false" errorStyle="stop" operator="between" showDropDown="false" showErrorMessage="false" showInputMessage="false" sqref="J5:J128"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34"/>
    <col collapsed="false" customWidth="true" hidden="false" outlineLevel="0" max="4" min="4" style="0" width="30"/>
    <col collapsed="false" customWidth="true" hidden="false" outlineLevel="0" max="5" min="5" style="0" width="40"/>
    <col collapsed="false" customWidth="true" hidden="false" outlineLevel="0" max="7" min="6" style="0" width="42"/>
    <col collapsed="false" customWidth="true" hidden="false" outlineLevel="0" max="8" min="8" style="0" width="10"/>
    <col collapsed="false" customWidth="true" hidden="false" outlineLevel="0" max="9" min="9" style="0" width="9"/>
    <col collapsed="false" customWidth="true" hidden="false" outlineLevel="0" max="10" min="10" style="0" width="7"/>
    <col collapsed="false" customWidth="true" hidden="false" outlineLevel="0" max="11" min="11" style="0" width="26"/>
    <col collapsed="false" customWidth="true" hidden="false" outlineLevel="0" max="13" min="12" style="0" width="11"/>
    <col collapsed="false" customWidth="true" hidden="false" outlineLevel="0" max="14" min="14" style="0" width="13"/>
    <col collapsed="false" customWidth="true" hidden="false" outlineLevel="0" max="15" min="15" style="0" width="16"/>
  </cols>
  <sheetData>
    <row r="1" customFormat="false" ht="17.35" hidden="false" customHeight="false" outlineLevel="0" collapsed="false">
      <c r="A1" s="1" t="s">
        <v>850</v>
      </c>
    </row>
    <row r="2" customFormat="false" ht="15" hidden="false" customHeight="false" outlineLevel="0" collapsed="false">
      <c r="A2" s="2" t="s">
        <v>851</v>
      </c>
    </row>
    <row r="4" customFormat="false" ht="35.05" hidden="false" customHeight="false" outlineLevel="0" collapsed="false">
      <c r="A4" s="3" t="s">
        <v>852</v>
      </c>
      <c r="B4" s="3" t="s">
        <v>47</v>
      </c>
      <c r="C4" s="3" t="s">
        <v>95</v>
      </c>
      <c r="D4" s="3" t="s">
        <v>853</v>
      </c>
      <c r="E4" s="3" t="s">
        <v>854</v>
      </c>
      <c r="F4" s="3" t="s">
        <v>855</v>
      </c>
      <c r="G4" s="3" t="s">
        <v>99</v>
      </c>
      <c r="H4" s="3" t="s">
        <v>100</v>
      </c>
      <c r="I4" s="3" t="s">
        <v>856</v>
      </c>
      <c r="J4" s="3" t="s">
        <v>66</v>
      </c>
      <c r="K4" s="3" t="s">
        <v>857</v>
      </c>
      <c r="L4" s="3" t="s">
        <v>858</v>
      </c>
      <c r="M4" s="3" t="s">
        <v>104</v>
      </c>
      <c r="N4" s="3" t="s">
        <v>859</v>
      </c>
      <c r="O4" s="3" t="s">
        <v>860</v>
      </c>
    </row>
    <row r="5" customFormat="false" ht="22.35" hidden="false" customHeight="false" outlineLevel="0" collapsed="false">
      <c r="A5" s="8" t="s">
        <v>861</v>
      </c>
      <c r="B5" s="8" t="s">
        <v>49</v>
      </c>
      <c r="C5" s="8" t="s">
        <v>862</v>
      </c>
      <c r="D5" s="8" t="s">
        <v>863</v>
      </c>
      <c r="E5" s="8" t="s">
        <v>864</v>
      </c>
      <c r="F5" s="8" t="s">
        <v>865</v>
      </c>
      <c r="G5" s="8" t="s">
        <v>866</v>
      </c>
      <c r="H5" s="8" t="s">
        <v>5</v>
      </c>
      <c r="I5" s="8" t="s">
        <v>18</v>
      </c>
      <c r="J5" s="8" t="s">
        <v>68</v>
      </c>
      <c r="K5" s="8" t="s">
        <v>867</v>
      </c>
      <c r="L5" s="8" t="s">
        <v>43</v>
      </c>
      <c r="M5" s="8" t="s">
        <v>116</v>
      </c>
      <c r="N5" s="8" t="s">
        <v>868</v>
      </c>
      <c r="O5" s="8" t="s">
        <v>869</v>
      </c>
    </row>
    <row r="6" customFormat="false" ht="22.35" hidden="false" customHeight="false" outlineLevel="0" collapsed="false">
      <c r="A6" s="8" t="s">
        <v>870</v>
      </c>
      <c r="B6" s="8" t="s">
        <v>49</v>
      </c>
      <c r="C6" s="8" t="s">
        <v>871</v>
      </c>
      <c r="D6" s="8" t="s">
        <v>872</v>
      </c>
      <c r="E6" s="8" t="s">
        <v>873</v>
      </c>
      <c r="F6" s="8" t="s">
        <v>874</v>
      </c>
      <c r="G6" s="8" t="s">
        <v>866</v>
      </c>
      <c r="H6" s="8" t="s">
        <v>5</v>
      </c>
      <c r="I6" s="8" t="s">
        <v>18</v>
      </c>
      <c r="J6" s="8" t="s">
        <v>68</v>
      </c>
      <c r="K6" s="8" t="s">
        <v>867</v>
      </c>
      <c r="L6" s="8" t="s">
        <v>43</v>
      </c>
      <c r="M6" s="8" t="s">
        <v>116</v>
      </c>
      <c r="N6" s="8" t="s">
        <v>868</v>
      </c>
      <c r="O6" s="8" t="s">
        <v>869</v>
      </c>
    </row>
    <row r="7" customFormat="false" ht="22.35" hidden="false" customHeight="false" outlineLevel="0" collapsed="false">
      <c r="A7" s="8" t="s">
        <v>875</v>
      </c>
      <c r="B7" s="8" t="s">
        <v>49</v>
      </c>
      <c r="C7" s="8" t="s">
        <v>876</v>
      </c>
      <c r="D7" s="8" t="s">
        <v>877</v>
      </c>
      <c r="E7" s="8" t="s">
        <v>878</v>
      </c>
      <c r="F7" s="8" t="s">
        <v>879</v>
      </c>
      <c r="G7" s="8" t="s">
        <v>866</v>
      </c>
      <c r="H7" s="8" t="s">
        <v>5</v>
      </c>
      <c r="I7" s="8" t="s">
        <v>18</v>
      </c>
      <c r="J7" s="8" t="s">
        <v>68</v>
      </c>
      <c r="K7" s="8" t="s">
        <v>867</v>
      </c>
      <c r="L7" s="8" t="s">
        <v>43</v>
      </c>
      <c r="M7" s="8" t="s">
        <v>116</v>
      </c>
      <c r="N7" s="8" t="s">
        <v>868</v>
      </c>
      <c r="O7" s="8" t="s">
        <v>869</v>
      </c>
    </row>
    <row r="8" customFormat="false" ht="32.8" hidden="false" customHeight="false" outlineLevel="0" collapsed="false">
      <c r="A8" s="8" t="s">
        <v>880</v>
      </c>
      <c r="B8" s="8" t="s">
        <v>49</v>
      </c>
      <c r="C8" s="8" t="s">
        <v>881</v>
      </c>
      <c r="D8" s="8" t="s">
        <v>882</v>
      </c>
      <c r="E8" s="8" t="s">
        <v>883</v>
      </c>
      <c r="F8" s="8" t="s">
        <v>884</v>
      </c>
      <c r="G8" s="8" t="s">
        <v>866</v>
      </c>
      <c r="H8" s="8" t="s">
        <v>5</v>
      </c>
      <c r="I8" s="8" t="s">
        <v>18</v>
      </c>
      <c r="J8" s="8" t="s">
        <v>68</v>
      </c>
      <c r="K8" s="8" t="s">
        <v>867</v>
      </c>
      <c r="L8" s="8" t="s">
        <v>43</v>
      </c>
      <c r="M8" s="8" t="s">
        <v>116</v>
      </c>
      <c r="N8" s="8" t="s">
        <v>868</v>
      </c>
      <c r="O8" s="8" t="s">
        <v>869</v>
      </c>
    </row>
    <row r="9" customFormat="false" ht="22.35" hidden="false" customHeight="false" outlineLevel="0" collapsed="false">
      <c r="A9" s="8" t="s">
        <v>885</v>
      </c>
      <c r="B9" s="8" t="s">
        <v>49</v>
      </c>
      <c r="C9" s="8" t="s">
        <v>886</v>
      </c>
      <c r="D9" s="8" t="s">
        <v>887</v>
      </c>
      <c r="E9" s="8" t="s">
        <v>888</v>
      </c>
      <c r="F9" s="8" t="s">
        <v>889</v>
      </c>
      <c r="G9" s="8" t="s">
        <v>890</v>
      </c>
      <c r="H9" s="8" t="s">
        <v>5</v>
      </c>
      <c r="I9" s="8" t="s">
        <v>891</v>
      </c>
      <c r="J9" s="8" t="s">
        <v>68</v>
      </c>
      <c r="K9" s="8" t="s">
        <v>892</v>
      </c>
      <c r="L9" s="8" t="s">
        <v>43</v>
      </c>
      <c r="M9" s="8" t="s">
        <v>116</v>
      </c>
      <c r="N9" s="8" t="s">
        <v>868</v>
      </c>
      <c r="O9" s="8" t="s">
        <v>869</v>
      </c>
    </row>
    <row r="10" customFormat="false" ht="22.35" hidden="false" customHeight="false" outlineLevel="0" collapsed="false">
      <c r="A10" s="8" t="s">
        <v>893</v>
      </c>
      <c r="B10" s="8" t="s">
        <v>49</v>
      </c>
      <c r="C10" s="8" t="s">
        <v>894</v>
      </c>
      <c r="D10" s="8" t="s">
        <v>895</v>
      </c>
      <c r="E10" s="8" t="s">
        <v>896</v>
      </c>
      <c r="F10" s="8" t="s">
        <v>897</v>
      </c>
      <c r="G10" s="8" t="s">
        <v>890</v>
      </c>
      <c r="H10" s="8" t="s">
        <v>5</v>
      </c>
      <c r="I10" s="8" t="s">
        <v>891</v>
      </c>
      <c r="J10" s="8" t="s">
        <v>69</v>
      </c>
      <c r="K10" s="8" t="s">
        <v>892</v>
      </c>
      <c r="L10" s="8" t="s">
        <v>43</v>
      </c>
      <c r="M10" s="8" t="s">
        <v>116</v>
      </c>
      <c r="N10" s="8" t="s">
        <v>868</v>
      </c>
      <c r="O10" s="8" t="s">
        <v>869</v>
      </c>
    </row>
    <row r="11" customFormat="false" ht="32.8" hidden="false" customHeight="false" outlineLevel="0" collapsed="false">
      <c r="A11" s="8" t="s">
        <v>898</v>
      </c>
      <c r="B11" s="8" t="s">
        <v>49</v>
      </c>
      <c r="C11" s="8" t="s">
        <v>899</v>
      </c>
      <c r="D11" s="8" t="s">
        <v>43</v>
      </c>
      <c r="E11" s="8" t="s">
        <v>900</v>
      </c>
      <c r="F11" s="8" t="s">
        <v>901</v>
      </c>
      <c r="G11" s="8" t="s">
        <v>890</v>
      </c>
      <c r="H11" s="8" t="s">
        <v>5</v>
      </c>
      <c r="I11" s="8" t="s">
        <v>891</v>
      </c>
      <c r="J11" s="8" t="s">
        <v>69</v>
      </c>
      <c r="K11" s="8" t="s">
        <v>892</v>
      </c>
      <c r="L11" s="8" t="s">
        <v>43</v>
      </c>
      <c r="M11" s="8" t="s">
        <v>116</v>
      </c>
      <c r="N11" s="8" t="s">
        <v>868</v>
      </c>
      <c r="O11" s="8" t="s">
        <v>869</v>
      </c>
    </row>
    <row r="12" customFormat="false" ht="22.35" hidden="false" customHeight="false" outlineLevel="0" collapsed="false">
      <c r="A12" s="8" t="s">
        <v>902</v>
      </c>
      <c r="B12" s="8" t="s">
        <v>49</v>
      </c>
      <c r="C12" s="8" t="s">
        <v>903</v>
      </c>
      <c r="D12" s="8" t="s">
        <v>870</v>
      </c>
      <c r="E12" s="8" t="s">
        <v>904</v>
      </c>
      <c r="F12" s="8" t="s">
        <v>905</v>
      </c>
      <c r="G12" s="8" t="s">
        <v>890</v>
      </c>
      <c r="H12" s="8" t="s">
        <v>5</v>
      </c>
      <c r="I12" s="8" t="s">
        <v>891</v>
      </c>
      <c r="J12" s="8" t="s">
        <v>68</v>
      </c>
      <c r="K12" s="8" t="s">
        <v>892</v>
      </c>
      <c r="L12" s="8" t="s">
        <v>43</v>
      </c>
      <c r="M12" s="8" t="s">
        <v>116</v>
      </c>
      <c r="N12" s="8" t="s">
        <v>868</v>
      </c>
      <c r="O12" s="8" t="s">
        <v>869</v>
      </c>
    </row>
    <row r="13" customFormat="false" ht="22.35" hidden="false" customHeight="false" outlineLevel="0" collapsed="false">
      <c r="A13" s="8" t="s">
        <v>906</v>
      </c>
      <c r="B13" s="8" t="s">
        <v>49</v>
      </c>
      <c r="C13" s="8" t="s">
        <v>907</v>
      </c>
      <c r="D13" s="8" t="s">
        <v>908</v>
      </c>
      <c r="E13" s="8" t="s">
        <v>909</v>
      </c>
      <c r="F13" s="8" t="s">
        <v>910</v>
      </c>
      <c r="G13" s="8" t="s">
        <v>866</v>
      </c>
      <c r="H13" s="8" t="s">
        <v>5</v>
      </c>
      <c r="I13" s="8" t="s">
        <v>18</v>
      </c>
      <c r="J13" s="8" t="s">
        <v>69</v>
      </c>
      <c r="K13" s="8" t="s">
        <v>867</v>
      </c>
      <c r="L13" s="8" t="s">
        <v>43</v>
      </c>
      <c r="M13" s="8" t="s">
        <v>116</v>
      </c>
      <c r="N13" s="8" t="s">
        <v>868</v>
      </c>
      <c r="O13" s="8" t="s">
        <v>869</v>
      </c>
    </row>
    <row r="14" customFormat="false" ht="53.7" hidden="false" customHeight="false" outlineLevel="0" collapsed="false">
      <c r="A14" s="8" t="s">
        <v>911</v>
      </c>
      <c r="B14" s="8" t="s">
        <v>49</v>
      </c>
      <c r="C14" s="8" t="s">
        <v>912</v>
      </c>
      <c r="D14" s="8" t="s">
        <v>913</v>
      </c>
      <c r="E14" s="8" t="s">
        <v>914</v>
      </c>
      <c r="F14" s="8" t="s">
        <v>915</v>
      </c>
      <c r="G14" s="8" t="s">
        <v>866</v>
      </c>
      <c r="H14" s="8" t="s">
        <v>5</v>
      </c>
      <c r="I14" s="8" t="s">
        <v>18</v>
      </c>
      <c r="J14" s="8" t="s">
        <v>68</v>
      </c>
      <c r="K14" s="8" t="s">
        <v>867</v>
      </c>
      <c r="L14" s="8" t="s">
        <v>43</v>
      </c>
      <c r="M14" s="8" t="s">
        <v>116</v>
      </c>
      <c r="N14" s="8" t="s">
        <v>868</v>
      </c>
      <c r="O14" s="8" t="s">
        <v>869</v>
      </c>
    </row>
    <row r="15" customFormat="false" ht="32.8" hidden="false" customHeight="false" outlineLevel="0" collapsed="false">
      <c r="A15" s="8" t="s">
        <v>916</v>
      </c>
      <c r="B15" s="8" t="s">
        <v>49</v>
      </c>
      <c r="C15" s="8" t="s">
        <v>917</v>
      </c>
      <c r="D15" s="8" t="s">
        <v>918</v>
      </c>
      <c r="E15" s="8" t="s">
        <v>919</v>
      </c>
      <c r="F15" s="8" t="s">
        <v>920</v>
      </c>
      <c r="G15" s="8" t="s">
        <v>866</v>
      </c>
      <c r="H15" s="8" t="s">
        <v>5</v>
      </c>
      <c r="I15" s="8" t="s">
        <v>18</v>
      </c>
      <c r="J15" s="8" t="s">
        <v>68</v>
      </c>
      <c r="K15" s="8" t="s">
        <v>867</v>
      </c>
      <c r="L15" s="8" t="s">
        <v>43</v>
      </c>
      <c r="M15" s="8" t="s">
        <v>116</v>
      </c>
      <c r="N15" s="8" t="s">
        <v>868</v>
      </c>
      <c r="O15" s="8" t="s">
        <v>869</v>
      </c>
    </row>
    <row r="16" customFormat="false" ht="22.35" hidden="false" customHeight="false" outlineLevel="0" collapsed="false">
      <c r="A16" s="8" t="s">
        <v>921</v>
      </c>
      <c r="B16" s="8" t="s">
        <v>49</v>
      </c>
      <c r="C16" s="8" t="s">
        <v>922</v>
      </c>
      <c r="D16" s="8" t="s">
        <v>923</v>
      </c>
      <c r="E16" s="8" t="s">
        <v>924</v>
      </c>
      <c r="F16" s="8" t="s">
        <v>925</v>
      </c>
      <c r="G16" s="8" t="s">
        <v>890</v>
      </c>
      <c r="H16" s="8" t="s">
        <v>5</v>
      </c>
      <c r="I16" s="8" t="s">
        <v>891</v>
      </c>
      <c r="J16" s="8" t="s">
        <v>68</v>
      </c>
      <c r="K16" s="8" t="s">
        <v>892</v>
      </c>
      <c r="L16" s="8" t="s">
        <v>43</v>
      </c>
      <c r="M16" s="8" t="s">
        <v>116</v>
      </c>
      <c r="N16" s="8" t="s">
        <v>868</v>
      </c>
      <c r="O16" s="8" t="s">
        <v>869</v>
      </c>
    </row>
    <row r="17" customFormat="false" ht="22.35" hidden="false" customHeight="false" outlineLevel="0" collapsed="false">
      <c r="A17" s="8" t="s">
        <v>926</v>
      </c>
      <c r="B17" s="8" t="s">
        <v>49</v>
      </c>
      <c r="C17" s="8" t="s">
        <v>927</v>
      </c>
      <c r="D17" s="8" t="s">
        <v>928</v>
      </c>
      <c r="E17" s="8" t="s">
        <v>929</v>
      </c>
      <c r="F17" s="8" t="s">
        <v>930</v>
      </c>
      <c r="G17" s="8" t="s">
        <v>890</v>
      </c>
      <c r="H17" s="8" t="s">
        <v>5</v>
      </c>
      <c r="I17" s="8" t="s">
        <v>891</v>
      </c>
      <c r="J17" s="8" t="s">
        <v>68</v>
      </c>
      <c r="K17" s="8" t="s">
        <v>892</v>
      </c>
      <c r="L17" s="8" t="s">
        <v>43</v>
      </c>
      <c r="M17" s="8" t="s">
        <v>116</v>
      </c>
      <c r="N17" s="8" t="s">
        <v>868</v>
      </c>
      <c r="O17" s="8" t="s">
        <v>869</v>
      </c>
    </row>
    <row r="18" customFormat="false" ht="22.35" hidden="false" customHeight="false" outlineLevel="0" collapsed="false">
      <c r="A18" s="8" t="s">
        <v>931</v>
      </c>
      <c r="B18" s="8" t="s">
        <v>49</v>
      </c>
      <c r="C18" s="8" t="s">
        <v>932</v>
      </c>
      <c r="D18" s="8" t="s">
        <v>933</v>
      </c>
      <c r="E18" s="8" t="s">
        <v>934</v>
      </c>
      <c r="F18" s="8" t="s">
        <v>935</v>
      </c>
      <c r="G18" s="8" t="s">
        <v>890</v>
      </c>
      <c r="H18" s="8" t="s">
        <v>5</v>
      </c>
      <c r="I18" s="8" t="s">
        <v>891</v>
      </c>
      <c r="J18" s="8" t="s">
        <v>68</v>
      </c>
      <c r="K18" s="8" t="s">
        <v>892</v>
      </c>
      <c r="L18" s="8" t="s">
        <v>43</v>
      </c>
      <c r="M18" s="8" t="s">
        <v>116</v>
      </c>
      <c r="N18" s="8" t="s">
        <v>868</v>
      </c>
      <c r="O18" s="8" t="s">
        <v>869</v>
      </c>
    </row>
    <row r="19" customFormat="false" ht="22.35" hidden="false" customHeight="false" outlineLevel="0" collapsed="false">
      <c r="A19" s="8" t="s">
        <v>936</v>
      </c>
      <c r="B19" s="8" t="s">
        <v>49</v>
      </c>
      <c r="C19" s="8" t="s">
        <v>937</v>
      </c>
      <c r="D19" s="8" t="s">
        <v>938</v>
      </c>
      <c r="E19" s="8" t="s">
        <v>939</v>
      </c>
      <c r="F19" s="8" t="s">
        <v>930</v>
      </c>
      <c r="G19" s="8" t="s">
        <v>890</v>
      </c>
      <c r="H19" s="8" t="s">
        <v>5</v>
      </c>
      <c r="I19" s="8" t="s">
        <v>891</v>
      </c>
      <c r="J19" s="8" t="s">
        <v>68</v>
      </c>
      <c r="K19" s="8" t="s">
        <v>892</v>
      </c>
      <c r="L19" s="8" t="s">
        <v>43</v>
      </c>
      <c r="M19" s="8" t="s">
        <v>116</v>
      </c>
      <c r="N19" s="8" t="s">
        <v>868</v>
      </c>
      <c r="O19" s="8" t="s">
        <v>869</v>
      </c>
    </row>
    <row r="20" customFormat="false" ht="32.8" hidden="false" customHeight="false" outlineLevel="0" collapsed="false">
      <c r="A20" s="8" t="s">
        <v>940</v>
      </c>
      <c r="B20" s="8" t="s">
        <v>49</v>
      </c>
      <c r="C20" s="8" t="s">
        <v>941</v>
      </c>
      <c r="D20" s="8" t="s">
        <v>942</v>
      </c>
      <c r="E20" s="8" t="s">
        <v>943</v>
      </c>
      <c r="F20" s="8" t="s">
        <v>944</v>
      </c>
      <c r="G20" s="8" t="s">
        <v>890</v>
      </c>
      <c r="H20" s="8" t="s">
        <v>5</v>
      </c>
      <c r="I20" s="8" t="s">
        <v>891</v>
      </c>
      <c r="J20" s="8" t="s">
        <v>68</v>
      </c>
      <c r="K20" s="8" t="s">
        <v>892</v>
      </c>
      <c r="L20" s="8" t="s">
        <v>43</v>
      </c>
      <c r="M20" s="8" t="s">
        <v>116</v>
      </c>
      <c r="N20" s="8" t="s">
        <v>868</v>
      </c>
      <c r="O20" s="8" t="s">
        <v>869</v>
      </c>
    </row>
    <row r="21" customFormat="false" ht="22.35" hidden="false" customHeight="false" outlineLevel="0" collapsed="false">
      <c r="A21" s="8" t="s">
        <v>945</v>
      </c>
      <c r="B21" s="8" t="s">
        <v>49</v>
      </c>
      <c r="C21" s="8" t="s">
        <v>946</v>
      </c>
      <c r="D21" s="8" t="s">
        <v>947</v>
      </c>
      <c r="E21" s="8" t="s">
        <v>948</v>
      </c>
      <c r="F21" s="8" t="s">
        <v>949</v>
      </c>
      <c r="G21" s="8" t="s">
        <v>950</v>
      </c>
      <c r="H21" s="8" t="s">
        <v>7</v>
      </c>
      <c r="I21" s="8" t="s">
        <v>18</v>
      </c>
      <c r="J21" s="8" t="s">
        <v>69</v>
      </c>
      <c r="K21" s="8" t="s">
        <v>867</v>
      </c>
      <c r="L21" s="8" t="s">
        <v>951</v>
      </c>
      <c r="M21" s="8"/>
      <c r="N21" s="8"/>
      <c r="O21" s="8"/>
    </row>
    <row r="22" customFormat="false" ht="43.25" hidden="false" customHeight="false" outlineLevel="0" collapsed="false">
      <c r="A22" s="8" t="s">
        <v>952</v>
      </c>
      <c r="B22" s="8" t="s">
        <v>49</v>
      </c>
      <c r="C22" s="8" t="s">
        <v>953</v>
      </c>
      <c r="D22" s="8" t="s">
        <v>933</v>
      </c>
      <c r="E22" s="8" t="s">
        <v>954</v>
      </c>
      <c r="F22" s="8" t="s">
        <v>955</v>
      </c>
      <c r="G22" s="8" t="s">
        <v>866</v>
      </c>
      <c r="H22" s="8" t="s">
        <v>5</v>
      </c>
      <c r="I22" s="8" t="s">
        <v>18</v>
      </c>
      <c r="J22" s="8" t="s">
        <v>69</v>
      </c>
      <c r="K22" s="8" t="s">
        <v>867</v>
      </c>
      <c r="L22" s="8" t="s">
        <v>43</v>
      </c>
      <c r="M22" s="8" t="s">
        <v>116</v>
      </c>
      <c r="N22" s="8" t="s">
        <v>868</v>
      </c>
      <c r="O22" s="8" t="s">
        <v>869</v>
      </c>
    </row>
    <row r="23" customFormat="false" ht="22.35" hidden="false" customHeight="false" outlineLevel="0" collapsed="false">
      <c r="A23" s="8" t="s">
        <v>956</v>
      </c>
      <c r="B23" s="8" t="s">
        <v>49</v>
      </c>
      <c r="C23" s="8" t="s">
        <v>957</v>
      </c>
      <c r="D23" s="8" t="s">
        <v>958</v>
      </c>
      <c r="E23" s="8" t="s">
        <v>939</v>
      </c>
      <c r="F23" s="8" t="s">
        <v>959</v>
      </c>
      <c r="G23" s="8" t="s">
        <v>866</v>
      </c>
      <c r="H23" s="8" t="s">
        <v>5</v>
      </c>
      <c r="I23" s="8" t="s">
        <v>18</v>
      </c>
      <c r="J23" s="8" t="s">
        <v>69</v>
      </c>
      <c r="K23" s="8" t="s">
        <v>867</v>
      </c>
      <c r="L23" s="8" t="s">
        <v>43</v>
      </c>
      <c r="M23" s="8" t="s">
        <v>116</v>
      </c>
      <c r="N23" s="8" t="s">
        <v>868</v>
      </c>
      <c r="O23" s="8" t="s">
        <v>869</v>
      </c>
    </row>
    <row r="24" customFormat="false" ht="22.35" hidden="false" customHeight="false" outlineLevel="0" collapsed="false">
      <c r="A24" s="8" t="s">
        <v>960</v>
      </c>
      <c r="B24" s="8" t="s">
        <v>49</v>
      </c>
      <c r="C24" s="8" t="s">
        <v>961</v>
      </c>
      <c r="D24" s="8" t="s">
        <v>962</v>
      </c>
      <c r="E24" s="8" t="s">
        <v>963</v>
      </c>
      <c r="F24" s="8" t="s">
        <v>964</v>
      </c>
      <c r="G24" s="8" t="s">
        <v>965</v>
      </c>
      <c r="H24" s="8" t="s">
        <v>5</v>
      </c>
      <c r="I24" s="8" t="s">
        <v>891</v>
      </c>
      <c r="J24" s="8" t="s">
        <v>69</v>
      </c>
      <c r="K24" s="8" t="s">
        <v>892</v>
      </c>
      <c r="L24" s="8" t="s">
        <v>966</v>
      </c>
      <c r="M24" s="8" t="s">
        <v>116</v>
      </c>
      <c r="N24" s="8" t="s">
        <v>868</v>
      </c>
      <c r="O24" s="8" t="s">
        <v>869</v>
      </c>
    </row>
    <row r="25" customFormat="false" ht="32.8" hidden="false" customHeight="false" outlineLevel="0" collapsed="false">
      <c r="A25" s="8" t="s">
        <v>967</v>
      </c>
      <c r="B25" s="8" t="s">
        <v>50</v>
      </c>
      <c r="C25" s="8" t="s">
        <v>968</v>
      </c>
      <c r="D25" s="8" t="s">
        <v>969</v>
      </c>
      <c r="E25" s="8" t="s">
        <v>970</v>
      </c>
      <c r="F25" s="8" t="s">
        <v>971</v>
      </c>
      <c r="G25" s="8" t="s">
        <v>866</v>
      </c>
      <c r="H25" s="8" t="s">
        <v>5</v>
      </c>
      <c r="I25" s="8" t="s">
        <v>18</v>
      </c>
      <c r="J25" s="8" t="s">
        <v>68</v>
      </c>
      <c r="K25" s="8" t="s">
        <v>867</v>
      </c>
      <c r="L25" s="8" t="s">
        <v>43</v>
      </c>
      <c r="M25" s="8" t="s">
        <v>116</v>
      </c>
      <c r="N25" s="8" t="s">
        <v>868</v>
      </c>
      <c r="O25" s="8" t="s">
        <v>869</v>
      </c>
    </row>
    <row r="26" customFormat="false" ht="22.35" hidden="false" customHeight="false" outlineLevel="0" collapsed="false">
      <c r="A26" s="8" t="s">
        <v>972</v>
      </c>
      <c r="B26" s="8" t="s">
        <v>50</v>
      </c>
      <c r="C26" s="8" t="s">
        <v>973</v>
      </c>
      <c r="D26" s="8" t="s">
        <v>974</v>
      </c>
      <c r="E26" s="8" t="s">
        <v>975</v>
      </c>
      <c r="F26" s="8" t="s">
        <v>976</v>
      </c>
      <c r="G26" s="8" t="s">
        <v>866</v>
      </c>
      <c r="H26" s="8" t="s">
        <v>5</v>
      </c>
      <c r="I26" s="8" t="s">
        <v>18</v>
      </c>
      <c r="J26" s="8" t="s">
        <v>68</v>
      </c>
      <c r="K26" s="8" t="s">
        <v>867</v>
      </c>
      <c r="L26" s="8" t="s">
        <v>43</v>
      </c>
      <c r="M26" s="8" t="s">
        <v>116</v>
      </c>
      <c r="N26" s="8" t="s">
        <v>868</v>
      </c>
      <c r="O26" s="8" t="s">
        <v>869</v>
      </c>
    </row>
    <row r="27" customFormat="false" ht="22.35" hidden="false" customHeight="false" outlineLevel="0" collapsed="false">
      <c r="A27" s="8" t="s">
        <v>977</v>
      </c>
      <c r="B27" s="8" t="s">
        <v>50</v>
      </c>
      <c r="C27" s="8" t="s">
        <v>978</v>
      </c>
      <c r="D27" s="8" t="s">
        <v>979</v>
      </c>
      <c r="E27" s="8" t="s">
        <v>980</v>
      </c>
      <c r="F27" s="8" t="s">
        <v>981</v>
      </c>
      <c r="G27" s="8" t="s">
        <v>866</v>
      </c>
      <c r="H27" s="8" t="s">
        <v>5</v>
      </c>
      <c r="I27" s="8" t="s">
        <v>18</v>
      </c>
      <c r="J27" s="8" t="s">
        <v>68</v>
      </c>
      <c r="K27" s="8" t="s">
        <v>867</v>
      </c>
      <c r="L27" s="8" t="s">
        <v>43</v>
      </c>
      <c r="M27" s="8" t="s">
        <v>116</v>
      </c>
      <c r="N27" s="8" t="s">
        <v>868</v>
      </c>
      <c r="O27" s="8" t="s">
        <v>869</v>
      </c>
    </row>
    <row r="28" customFormat="false" ht="22.35" hidden="false" customHeight="false" outlineLevel="0" collapsed="false">
      <c r="A28" s="8" t="s">
        <v>982</v>
      </c>
      <c r="B28" s="8" t="s">
        <v>50</v>
      </c>
      <c r="C28" s="8" t="s">
        <v>983</v>
      </c>
      <c r="D28" s="8" t="s">
        <v>984</v>
      </c>
      <c r="E28" s="8" t="s">
        <v>985</v>
      </c>
      <c r="F28" s="8" t="s">
        <v>986</v>
      </c>
      <c r="G28" s="8" t="s">
        <v>890</v>
      </c>
      <c r="H28" s="8" t="s">
        <v>5</v>
      </c>
      <c r="I28" s="8" t="s">
        <v>891</v>
      </c>
      <c r="J28" s="8" t="s">
        <v>68</v>
      </c>
      <c r="K28" s="8" t="s">
        <v>892</v>
      </c>
      <c r="L28" s="8" t="s">
        <v>43</v>
      </c>
      <c r="M28" s="8" t="s">
        <v>116</v>
      </c>
      <c r="N28" s="8" t="s">
        <v>868</v>
      </c>
      <c r="O28" s="8" t="s">
        <v>869</v>
      </c>
    </row>
    <row r="29" customFormat="false" ht="22.35" hidden="false" customHeight="false" outlineLevel="0" collapsed="false">
      <c r="A29" s="8" t="s">
        <v>987</v>
      </c>
      <c r="B29" s="8" t="s">
        <v>50</v>
      </c>
      <c r="C29" s="8" t="s">
        <v>988</v>
      </c>
      <c r="D29" s="8" t="s">
        <v>989</v>
      </c>
      <c r="E29" s="8" t="s">
        <v>990</v>
      </c>
      <c r="F29" s="8" t="s">
        <v>991</v>
      </c>
      <c r="G29" s="8" t="s">
        <v>890</v>
      </c>
      <c r="H29" s="8" t="s">
        <v>5</v>
      </c>
      <c r="I29" s="8" t="s">
        <v>891</v>
      </c>
      <c r="J29" s="8" t="s">
        <v>68</v>
      </c>
      <c r="K29" s="8" t="s">
        <v>892</v>
      </c>
      <c r="L29" s="8" t="s">
        <v>43</v>
      </c>
      <c r="M29" s="8" t="s">
        <v>116</v>
      </c>
      <c r="N29" s="8" t="s">
        <v>868</v>
      </c>
      <c r="O29" s="8" t="s">
        <v>869</v>
      </c>
    </row>
    <row r="30" customFormat="false" ht="22.35" hidden="false" customHeight="false" outlineLevel="0" collapsed="false">
      <c r="A30" s="8" t="s">
        <v>992</v>
      </c>
      <c r="B30" s="8" t="s">
        <v>50</v>
      </c>
      <c r="C30" s="8" t="s">
        <v>993</v>
      </c>
      <c r="D30" s="8" t="s">
        <v>994</v>
      </c>
      <c r="E30" s="8" t="s">
        <v>995</v>
      </c>
      <c r="F30" s="8" t="s">
        <v>996</v>
      </c>
      <c r="G30" s="8" t="s">
        <v>866</v>
      </c>
      <c r="H30" s="8" t="s">
        <v>5</v>
      </c>
      <c r="I30" s="8" t="s">
        <v>18</v>
      </c>
      <c r="J30" s="8" t="s">
        <v>68</v>
      </c>
      <c r="K30" s="8" t="s">
        <v>867</v>
      </c>
      <c r="L30" s="8" t="s">
        <v>43</v>
      </c>
      <c r="M30" s="8" t="s">
        <v>116</v>
      </c>
      <c r="N30" s="8" t="s">
        <v>868</v>
      </c>
      <c r="O30" s="8" t="s">
        <v>869</v>
      </c>
    </row>
    <row r="31" customFormat="false" ht="32.8" hidden="false" customHeight="false" outlineLevel="0" collapsed="false">
      <c r="A31" s="8" t="s">
        <v>997</v>
      </c>
      <c r="B31" s="8" t="s">
        <v>50</v>
      </c>
      <c r="C31" s="8" t="s">
        <v>998</v>
      </c>
      <c r="D31" s="8" t="s">
        <v>974</v>
      </c>
      <c r="E31" s="8" t="s">
        <v>999</v>
      </c>
      <c r="F31" s="8" t="s">
        <v>1000</v>
      </c>
      <c r="G31" s="8" t="s">
        <v>866</v>
      </c>
      <c r="H31" s="8" t="s">
        <v>5</v>
      </c>
      <c r="I31" s="8" t="s">
        <v>18</v>
      </c>
      <c r="J31" s="8" t="s">
        <v>69</v>
      </c>
      <c r="K31" s="8" t="s">
        <v>867</v>
      </c>
      <c r="L31" s="8" t="s">
        <v>43</v>
      </c>
      <c r="M31" s="8" t="s">
        <v>116</v>
      </c>
      <c r="N31" s="8" t="s">
        <v>868</v>
      </c>
      <c r="O31" s="8" t="s">
        <v>869</v>
      </c>
    </row>
    <row r="32" customFormat="false" ht="22.35" hidden="false" customHeight="false" outlineLevel="0" collapsed="false">
      <c r="A32" s="8" t="s">
        <v>1001</v>
      </c>
      <c r="B32" s="8" t="s">
        <v>50</v>
      </c>
      <c r="C32" s="8" t="s">
        <v>1002</v>
      </c>
      <c r="D32" s="8" t="s">
        <v>1003</v>
      </c>
      <c r="E32" s="8" t="s">
        <v>1004</v>
      </c>
      <c r="F32" s="8" t="s">
        <v>1005</v>
      </c>
      <c r="G32" s="8" t="s">
        <v>866</v>
      </c>
      <c r="H32" s="8" t="s">
        <v>5</v>
      </c>
      <c r="I32" s="8" t="s">
        <v>18</v>
      </c>
      <c r="J32" s="8" t="s">
        <v>69</v>
      </c>
      <c r="K32" s="8" t="s">
        <v>867</v>
      </c>
      <c r="L32" s="8" t="s">
        <v>43</v>
      </c>
      <c r="M32" s="8" t="s">
        <v>116</v>
      </c>
      <c r="N32" s="8" t="s">
        <v>868</v>
      </c>
      <c r="O32" s="8" t="s">
        <v>869</v>
      </c>
    </row>
    <row r="33" customFormat="false" ht="32.8" hidden="false" customHeight="false" outlineLevel="0" collapsed="false">
      <c r="A33" s="8" t="s">
        <v>1006</v>
      </c>
      <c r="B33" s="8" t="s">
        <v>50</v>
      </c>
      <c r="C33" s="8" t="s">
        <v>1007</v>
      </c>
      <c r="D33" s="8" t="s">
        <v>1008</v>
      </c>
      <c r="E33" s="8" t="s">
        <v>1009</v>
      </c>
      <c r="F33" s="8" t="s">
        <v>1010</v>
      </c>
      <c r="G33" s="8" t="s">
        <v>1011</v>
      </c>
      <c r="H33" s="8" t="s">
        <v>7</v>
      </c>
      <c r="I33" s="8" t="s">
        <v>891</v>
      </c>
      <c r="J33" s="8" t="s">
        <v>69</v>
      </c>
      <c r="K33" s="8" t="s">
        <v>1012</v>
      </c>
      <c r="L33" s="8" t="s">
        <v>1013</v>
      </c>
      <c r="M33" s="8"/>
      <c r="N33" s="8"/>
      <c r="O33" s="8"/>
    </row>
    <row r="34" customFormat="false" ht="22.35" hidden="false" customHeight="false" outlineLevel="0" collapsed="false">
      <c r="A34" s="8" t="s">
        <v>1014</v>
      </c>
      <c r="B34" s="8" t="s">
        <v>50</v>
      </c>
      <c r="C34" s="8" t="s">
        <v>1015</v>
      </c>
      <c r="D34" s="8" t="s">
        <v>1016</v>
      </c>
      <c r="E34" s="8" t="s">
        <v>1017</v>
      </c>
      <c r="F34" s="8" t="s">
        <v>1018</v>
      </c>
      <c r="G34" s="8" t="s">
        <v>890</v>
      </c>
      <c r="H34" s="8" t="s">
        <v>5</v>
      </c>
      <c r="I34" s="8" t="s">
        <v>891</v>
      </c>
      <c r="J34" s="8" t="s">
        <v>68</v>
      </c>
      <c r="K34" s="8" t="s">
        <v>892</v>
      </c>
      <c r="L34" s="8" t="s">
        <v>43</v>
      </c>
      <c r="M34" s="8" t="s">
        <v>116</v>
      </c>
      <c r="N34" s="8" t="s">
        <v>868</v>
      </c>
      <c r="O34" s="8" t="s">
        <v>869</v>
      </c>
    </row>
    <row r="35" customFormat="false" ht="32.8" hidden="false" customHeight="false" outlineLevel="0" collapsed="false">
      <c r="A35" s="8" t="s">
        <v>1019</v>
      </c>
      <c r="B35" s="8" t="s">
        <v>51</v>
      </c>
      <c r="C35" s="8" t="s">
        <v>1020</v>
      </c>
      <c r="D35" s="8" t="s">
        <v>1021</v>
      </c>
      <c r="E35" s="8" t="s">
        <v>1022</v>
      </c>
      <c r="F35" s="8" t="s">
        <v>1023</v>
      </c>
      <c r="G35" s="8" t="s">
        <v>866</v>
      </c>
      <c r="H35" s="8" t="s">
        <v>5</v>
      </c>
      <c r="I35" s="8" t="s">
        <v>18</v>
      </c>
      <c r="J35" s="8" t="s">
        <v>68</v>
      </c>
      <c r="K35" s="8" t="s">
        <v>867</v>
      </c>
      <c r="L35" s="8" t="s">
        <v>43</v>
      </c>
      <c r="M35" s="8" t="s">
        <v>116</v>
      </c>
      <c r="N35" s="8" t="s">
        <v>868</v>
      </c>
      <c r="O35" s="8" t="s">
        <v>869</v>
      </c>
    </row>
    <row r="36" customFormat="false" ht="32.8" hidden="false" customHeight="false" outlineLevel="0" collapsed="false">
      <c r="A36" s="8" t="s">
        <v>1024</v>
      </c>
      <c r="B36" s="8" t="s">
        <v>51</v>
      </c>
      <c r="C36" s="8" t="s">
        <v>1025</v>
      </c>
      <c r="D36" s="8" t="s">
        <v>1026</v>
      </c>
      <c r="E36" s="8" t="s">
        <v>1027</v>
      </c>
      <c r="F36" s="8" t="s">
        <v>1028</v>
      </c>
      <c r="G36" s="8" t="s">
        <v>1029</v>
      </c>
      <c r="H36" s="8" t="s">
        <v>5</v>
      </c>
      <c r="I36" s="8" t="s">
        <v>1030</v>
      </c>
      <c r="J36" s="8" t="s">
        <v>68</v>
      </c>
      <c r="K36" s="8" t="s">
        <v>1031</v>
      </c>
      <c r="L36" s="8" t="s">
        <v>43</v>
      </c>
      <c r="M36" s="8" t="s">
        <v>116</v>
      </c>
      <c r="N36" s="8" t="s">
        <v>868</v>
      </c>
      <c r="O36" s="8" t="s">
        <v>869</v>
      </c>
    </row>
    <row r="37" customFormat="false" ht="32.8" hidden="false" customHeight="false" outlineLevel="0" collapsed="false">
      <c r="A37" s="8" t="s">
        <v>1032</v>
      </c>
      <c r="B37" s="8" t="s">
        <v>51</v>
      </c>
      <c r="C37" s="8" t="s">
        <v>1033</v>
      </c>
      <c r="D37" s="8" t="s">
        <v>1034</v>
      </c>
      <c r="E37" s="8" t="s">
        <v>1035</v>
      </c>
      <c r="F37" s="8" t="s">
        <v>1036</v>
      </c>
      <c r="G37" s="8" t="s">
        <v>1037</v>
      </c>
      <c r="H37" s="8" t="s">
        <v>5</v>
      </c>
      <c r="I37" s="8" t="s">
        <v>1030</v>
      </c>
      <c r="J37" s="8" t="s">
        <v>68</v>
      </c>
      <c r="K37" s="8" t="s">
        <v>1038</v>
      </c>
      <c r="L37" s="8" t="s">
        <v>43</v>
      </c>
      <c r="M37" s="8" t="s">
        <v>116</v>
      </c>
      <c r="N37" s="8" t="s">
        <v>868</v>
      </c>
      <c r="O37" s="8" t="s">
        <v>869</v>
      </c>
    </row>
    <row r="38" customFormat="false" ht="22.35" hidden="false" customHeight="false" outlineLevel="0" collapsed="false">
      <c r="A38" s="8" t="s">
        <v>1039</v>
      </c>
      <c r="B38" s="8" t="s">
        <v>51</v>
      </c>
      <c r="C38" s="8" t="s">
        <v>1040</v>
      </c>
      <c r="D38" s="8" t="s">
        <v>1041</v>
      </c>
      <c r="E38" s="8" t="s">
        <v>1042</v>
      </c>
      <c r="F38" s="8" t="s">
        <v>1043</v>
      </c>
      <c r="G38" s="8" t="s">
        <v>1037</v>
      </c>
      <c r="H38" s="8" t="s">
        <v>5</v>
      </c>
      <c r="I38" s="8" t="s">
        <v>1030</v>
      </c>
      <c r="J38" s="8" t="s">
        <v>69</v>
      </c>
      <c r="K38" s="8" t="s">
        <v>1038</v>
      </c>
      <c r="L38" s="8" t="s">
        <v>43</v>
      </c>
      <c r="M38" s="8" t="s">
        <v>116</v>
      </c>
      <c r="N38" s="8" t="s">
        <v>868</v>
      </c>
      <c r="O38" s="8" t="s">
        <v>869</v>
      </c>
    </row>
    <row r="39" customFormat="false" ht="22.35" hidden="false" customHeight="false" outlineLevel="0" collapsed="false">
      <c r="A39" s="8" t="s">
        <v>1044</v>
      </c>
      <c r="B39" s="8" t="s">
        <v>51</v>
      </c>
      <c r="C39" s="8" t="s">
        <v>1045</v>
      </c>
      <c r="D39" s="8" t="s">
        <v>1046</v>
      </c>
      <c r="E39" s="8" t="s">
        <v>1047</v>
      </c>
      <c r="F39" s="8" t="s">
        <v>1048</v>
      </c>
      <c r="G39" s="8" t="s">
        <v>1037</v>
      </c>
      <c r="H39" s="8" t="s">
        <v>5</v>
      </c>
      <c r="I39" s="8" t="s">
        <v>1030</v>
      </c>
      <c r="J39" s="8" t="s">
        <v>68</v>
      </c>
      <c r="K39" s="8" t="s">
        <v>1038</v>
      </c>
      <c r="L39" s="8" t="s">
        <v>43</v>
      </c>
      <c r="M39" s="8" t="s">
        <v>116</v>
      </c>
      <c r="N39" s="8" t="s">
        <v>868</v>
      </c>
      <c r="O39" s="8" t="s">
        <v>869</v>
      </c>
    </row>
    <row r="40" customFormat="false" ht="22.35" hidden="false" customHeight="false" outlineLevel="0" collapsed="false">
      <c r="A40" s="8" t="s">
        <v>1049</v>
      </c>
      <c r="B40" s="8" t="s">
        <v>51</v>
      </c>
      <c r="C40" s="8" t="s">
        <v>1050</v>
      </c>
      <c r="D40" s="8" t="s">
        <v>1051</v>
      </c>
      <c r="E40" s="8" t="s">
        <v>1052</v>
      </c>
      <c r="F40" s="8" t="s">
        <v>1053</v>
      </c>
      <c r="G40" s="8" t="s">
        <v>1054</v>
      </c>
      <c r="H40" s="8" t="s">
        <v>5</v>
      </c>
      <c r="I40" s="8" t="s">
        <v>1030</v>
      </c>
      <c r="J40" s="8" t="s">
        <v>68</v>
      </c>
      <c r="K40" s="8" t="s">
        <v>1055</v>
      </c>
      <c r="L40" s="8" t="s">
        <v>43</v>
      </c>
      <c r="M40" s="8" t="s">
        <v>116</v>
      </c>
      <c r="N40" s="8" t="s">
        <v>868</v>
      </c>
      <c r="O40" s="8" t="s">
        <v>869</v>
      </c>
    </row>
    <row r="41" customFormat="false" ht="53.7" hidden="false" customHeight="false" outlineLevel="0" collapsed="false">
      <c r="A41" s="8" t="s">
        <v>1056</v>
      </c>
      <c r="B41" s="8" t="s">
        <v>51</v>
      </c>
      <c r="C41" s="8" t="s">
        <v>1057</v>
      </c>
      <c r="D41" s="8" t="s">
        <v>1058</v>
      </c>
      <c r="E41" s="8" t="s">
        <v>1059</v>
      </c>
      <c r="F41" s="8" t="s">
        <v>1060</v>
      </c>
      <c r="G41" s="8" t="s">
        <v>866</v>
      </c>
      <c r="H41" s="8" t="s">
        <v>5</v>
      </c>
      <c r="I41" s="8" t="s">
        <v>18</v>
      </c>
      <c r="J41" s="8" t="s">
        <v>68</v>
      </c>
      <c r="K41" s="8" t="s">
        <v>867</v>
      </c>
      <c r="L41" s="8" t="s">
        <v>43</v>
      </c>
      <c r="M41" s="8" t="s">
        <v>116</v>
      </c>
      <c r="N41" s="8" t="s">
        <v>868</v>
      </c>
      <c r="O41" s="8" t="s">
        <v>869</v>
      </c>
    </row>
    <row r="42" customFormat="false" ht="22.35" hidden="false" customHeight="false" outlineLevel="0" collapsed="false">
      <c r="A42" s="8" t="s">
        <v>1061</v>
      </c>
      <c r="B42" s="8" t="s">
        <v>51</v>
      </c>
      <c r="C42" s="8" t="s">
        <v>1062</v>
      </c>
      <c r="D42" s="8" t="s">
        <v>1063</v>
      </c>
      <c r="E42" s="8" t="s">
        <v>1064</v>
      </c>
      <c r="F42" s="8" t="s">
        <v>1065</v>
      </c>
      <c r="G42" s="8" t="s">
        <v>866</v>
      </c>
      <c r="H42" s="8" t="s">
        <v>5</v>
      </c>
      <c r="I42" s="8" t="s">
        <v>18</v>
      </c>
      <c r="J42" s="8" t="s">
        <v>69</v>
      </c>
      <c r="K42" s="8" t="s">
        <v>867</v>
      </c>
      <c r="L42" s="8" t="s">
        <v>43</v>
      </c>
      <c r="M42" s="8" t="s">
        <v>116</v>
      </c>
      <c r="N42" s="8" t="s">
        <v>868</v>
      </c>
      <c r="O42" s="8" t="s">
        <v>869</v>
      </c>
    </row>
    <row r="43" customFormat="false" ht="22.35" hidden="false" customHeight="false" outlineLevel="0" collapsed="false">
      <c r="A43" s="8" t="s">
        <v>1066</v>
      </c>
      <c r="B43" s="8" t="s">
        <v>51</v>
      </c>
      <c r="C43" s="8" t="s">
        <v>1067</v>
      </c>
      <c r="D43" s="8" t="s">
        <v>1068</v>
      </c>
      <c r="E43" s="8" t="s">
        <v>1069</v>
      </c>
      <c r="F43" s="8" t="s">
        <v>1070</v>
      </c>
      <c r="G43" s="8" t="s">
        <v>866</v>
      </c>
      <c r="H43" s="8" t="s">
        <v>5</v>
      </c>
      <c r="I43" s="8" t="s">
        <v>18</v>
      </c>
      <c r="J43" s="8" t="s">
        <v>69</v>
      </c>
      <c r="K43" s="8" t="s">
        <v>867</v>
      </c>
      <c r="L43" s="8" t="s">
        <v>43</v>
      </c>
      <c r="M43" s="8" t="s">
        <v>116</v>
      </c>
      <c r="N43" s="8" t="s">
        <v>868</v>
      </c>
      <c r="O43" s="8" t="s">
        <v>869</v>
      </c>
    </row>
    <row r="44" customFormat="false" ht="32.8" hidden="false" customHeight="false" outlineLevel="0" collapsed="false">
      <c r="A44" s="8" t="s">
        <v>1071</v>
      </c>
      <c r="B44" s="8" t="s">
        <v>51</v>
      </c>
      <c r="C44" s="8" t="s">
        <v>1072</v>
      </c>
      <c r="D44" s="8" t="s">
        <v>1073</v>
      </c>
      <c r="E44" s="8" t="s">
        <v>1074</v>
      </c>
      <c r="F44" s="8" t="s">
        <v>1075</v>
      </c>
      <c r="G44" s="8" t="s">
        <v>866</v>
      </c>
      <c r="H44" s="8" t="s">
        <v>5</v>
      </c>
      <c r="I44" s="8" t="s">
        <v>18</v>
      </c>
      <c r="J44" s="8" t="s">
        <v>70</v>
      </c>
      <c r="K44" s="8" t="s">
        <v>867</v>
      </c>
      <c r="L44" s="8" t="s">
        <v>43</v>
      </c>
      <c r="M44" s="8" t="s">
        <v>116</v>
      </c>
      <c r="N44" s="8" t="s">
        <v>868</v>
      </c>
      <c r="O44" s="8" t="s">
        <v>869</v>
      </c>
    </row>
    <row r="45" customFormat="false" ht="53.7" hidden="false" customHeight="false" outlineLevel="0" collapsed="false">
      <c r="A45" s="8" t="s">
        <v>1076</v>
      </c>
      <c r="B45" s="8" t="s">
        <v>52</v>
      </c>
      <c r="C45" s="8" t="s">
        <v>1077</v>
      </c>
      <c r="D45" s="8" t="s">
        <v>1078</v>
      </c>
      <c r="E45" s="8" t="s">
        <v>1079</v>
      </c>
      <c r="F45" s="8" t="s">
        <v>1080</v>
      </c>
      <c r="G45" s="8" t="s">
        <v>866</v>
      </c>
      <c r="H45" s="8" t="s">
        <v>5</v>
      </c>
      <c r="I45" s="8" t="s">
        <v>18</v>
      </c>
      <c r="J45" s="8" t="s">
        <v>68</v>
      </c>
      <c r="K45" s="8" t="s">
        <v>867</v>
      </c>
      <c r="L45" s="8" t="s">
        <v>43</v>
      </c>
      <c r="M45" s="8" t="s">
        <v>116</v>
      </c>
      <c r="N45" s="8" t="s">
        <v>868</v>
      </c>
      <c r="O45" s="8" t="s">
        <v>869</v>
      </c>
    </row>
    <row r="46" customFormat="false" ht="32.8" hidden="false" customHeight="false" outlineLevel="0" collapsed="false">
      <c r="A46" s="8" t="s">
        <v>1081</v>
      </c>
      <c r="B46" s="8" t="s">
        <v>52</v>
      </c>
      <c r="C46" s="8" t="s">
        <v>1082</v>
      </c>
      <c r="D46" s="8" t="s">
        <v>1083</v>
      </c>
      <c r="E46" s="8" t="s">
        <v>1084</v>
      </c>
      <c r="F46" s="8" t="s">
        <v>1085</v>
      </c>
      <c r="G46" s="8" t="s">
        <v>1086</v>
      </c>
      <c r="H46" s="8" t="s">
        <v>5</v>
      </c>
      <c r="I46" s="8" t="s">
        <v>16</v>
      </c>
      <c r="J46" s="8" t="s">
        <v>68</v>
      </c>
      <c r="K46" s="8" t="s">
        <v>1087</v>
      </c>
      <c r="L46" s="8" t="s">
        <v>43</v>
      </c>
      <c r="M46" s="8" t="s">
        <v>116</v>
      </c>
      <c r="N46" s="8" t="s">
        <v>868</v>
      </c>
      <c r="O46" s="8" t="s">
        <v>869</v>
      </c>
    </row>
    <row r="47" customFormat="false" ht="22.35" hidden="false" customHeight="false" outlineLevel="0" collapsed="false">
      <c r="A47" s="8" t="s">
        <v>1088</v>
      </c>
      <c r="B47" s="8" t="s">
        <v>52</v>
      </c>
      <c r="C47" s="8" t="s">
        <v>1089</v>
      </c>
      <c r="D47" s="8" t="s">
        <v>1090</v>
      </c>
      <c r="E47" s="8" t="s">
        <v>226</v>
      </c>
      <c r="F47" s="8" t="s">
        <v>1091</v>
      </c>
      <c r="G47" s="8" t="s">
        <v>1086</v>
      </c>
      <c r="H47" s="8" t="s">
        <v>5</v>
      </c>
      <c r="I47" s="8" t="s">
        <v>16</v>
      </c>
      <c r="J47" s="8" t="s">
        <v>68</v>
      </c>
      <c r="K47" s="8" t="s">
        <v>1087</v>
      </c>
      <c r="L47" s="8" t="s">
        <v>43</v>
      </c>
      <c r="M47" s="8" t="s">
        <v>116</v>
      </c>
      <c r="N47" s="8" t="s">
        <v>868</v>
      </c>
      <c r="O47" s="8" t="s">
        <v>869</v>
      </c>
    </row>
    <row r="48" customFormat="false" ht="22.35" hidden="false" customHeight="false" outlineLevel="0" collapsed="false">
      <c r="A48" s="8" t="s">
        <v>1092</v>
      </c>
      <c r="B48" s="8" t="s">
        <v>52</v>
      </c>
      <c r="C48" s="8" t="s">
        <v>1093</v>
      </c>
      <c r="D48" s="8" t="s">
        <v>1094</v>
      </c>
      <c r="E48" s="8" t="s">
        <v>226</v>
      </c>
      <c r="F48" s="8" t="s">
        <v>1095</v>
      </c>
      <c r="G48" s="8" t="s">
        <v>1037</v>
      </c>
      <c r="H48" s="8" t="s">
        <v>5</v>
      </c>
      <c r="I48" s="8" t="s">
        <v>1030</v>
      </c>
      <c r="J48" s="8" t="s">
        <v>68</v>
      </c>
      <c r="K48" s="8" t="s">
        <v>1038</v>
      </c>
      <c r="L48" s="8" t="s">
        <v>43</v>
      </c>
      <c r="M48" s="8" t="s">
        <v>116</v>
      </c>
      <c r="N48" s="8" t="s">
        <v>868</v>
      </c>
      <c r="O48" s="8" t="s">
        <v>869</v>
      </c>
    </row>
    <row r="49" customFormat="false" ht="22.35" hidden="false" customHeight="false" outlineLevel="0" collapsed="false">
      <c r="A49" s="8" t="s">
        <v>1096</v>
      </c>
      <c r="B49" s="8" t="s">
        <v>52</v>
      </c>
      <c r="C49" s="8" t="s">
        <v>1097</v>
      </c>
      <c r="D49" s="8" t="s">
        <v>1098</v>
      </c>
      <c r="E49" s="8" t="s">
        <v>226</v>
      </c>
      <c r="F49" s="8" t="s">
        <v>1099</v>
      </c>
      <c r="G49" s="8" t="s">
        <v>1086</v>
      </c>
      <c r="H49" s="8" t="s">
        <v>5</v>
      </c>
      <c r="I49" s="8" t="s">
        <v>16</v>
      </c>
      <c r="J49" s="8" t="s">
        <v>69</v>
      </c>
      <c r="K49" s="8" t="s">
        <v>1087</v>
      </c>
      <c r="L49" s="8" t="s">
        <v>43</v>
      </c>
      <c r="M49" s="8" t="s">
        <v>116</v>
      </c>
      <c r="N49" s="8" t="s">
        <v>868</v>
      </c>
      <c r="O49" s="8" t="s">
        <v>869</v>
      </c>
    </row>
    <row r="50" customFormat="false" ht="22.35" hidden="false" customHeight="false" outlineLevel="0" collapsed="false">
      <c r="A50" s="8" t="s">
        <v>1100</v>
      </c>
      <c r="B50" s="8" t="s">
        <v>52</v>
      </c>
      <c r="C50" s="8" t="s">
        <v>1101</v>
      </c>
      <c r="D50" s="8" t="s">
        <v>1102</v>
      </c>
      <c r="E50" s="8" t="s">
        <v>226</v>
      </c>
      <c r="F50" s="8" t="s">
        <v>1103</v>
      </c>
      <c r="G50" s="8" t="s">
        <v>1037</v>
      </c>
      <c r="H50" s="8" t="s">
        <v>5</v>
      </c>
      <c r="I50" s="8" t="s">
        <v>1030</v>
      </c>
      <c r="J50" s="8" t="s">
        <v>68</v>
      </c>
      <c r="K50" s="8" t="s">
        <v>1038</v>
      </c>
      <c r="L50" s="8" t="s">
        <v>43</v>
      </c>
      <c r="M50" s="8" t="s">
        <v>116</v>
      </c>
      <c r="N50" s="8" t="s">
        <v>868</v>
      </c>
      <c r="O50" s="8" t="s">
        <v>869</v>
      </c>
    </row>
    <row r="51" customFormat="false" ht="22.35" hidden="false" customHeight="false" outlineLevel="0" collapsed="false">
      <c r="A51" s="8" t="s">
        <v>1104</v>
      </c>
      <c r="B51" s="8" t="s">
        <v>52</v>
      </c>
      <c r="C51" s="8" t="s">
        <v>1105</v>
      </c>
      <c r="D51" s="8" t="s">
        <v>1106</v>
      </c>
      <c r="E51" s="8" t="s">
        <v>1107</v>
      </c>
      <c r="F51" s="8" t="s">
        <v>1108</v>
      </c>
      <c r="G51" s="8" t="s">
        <v>1086</v>
      </c>
      <c r="H51" s="8" t="s">
        <v>5</v>
      </c>
      <c r="I51" s="8" t="s">
        <v>16</v>
      </c>
      <c r="J51" s="8" t="s">
        <v>69</v>
      </c>
      <c r="K51" s="8" t="s">
        <v>1087</v>
      </c>
      <c r="L51" s="8" t="s">
        <v>43</v>
      </c>
      <c r="M51" s="8" t="s">
        <v>116</v>
      </c>
      <c r="N51" s="8" t="s">
        <v>868</v>
      </c>
      <c r="O51" s="8" t="s">
        <v>869</v>
      </c>
    </row>
    <row r="52" customFormat="false" ht="22.35" hidden="false" customHeight="false" outlineLevel="0" collapsed="false">
      <c r="A52" s="8" t="s">
        <v>1109</v>
      </c>
      <c r="B52" s="8" t="s">
        <v>52</v>
      </c>
      <c r="C52" s="8" t="s">
        <v>1110</v>
      </c>
      <c r="D52" s="8" t="s">
        <v>1111</v>
      </c>
      <c r="E52" s="8" t="s">
        <v>1112</v>
      </c>
      <c r="F52" s="8" t="s">
        <v>1113</v>
      </c>
      <c r="G52" s="8" t="s">
        <v>1037</v>
      </c>
      <c r="H52" s="8" t="s">
        <v>5</v>
      </c>
      <c r="I52" s="8" t="s">
        <v>1030</v>
      </c>
      <c r="J52" s="8" t="s">
        <v>69</v>
      </c>
      <c r="K52" s="8" t="s">
        <v>1038</v>
      </c>
      <c r="L52" s="8" t="s">
        <v>43</v>
      </c>
      <c r="M52" s="8" t="s">
        <v>116</v>
      </c>
      <c r="N52" s="8" t="s">
        <v>868</v>
      </c>
      <c r="O52" s="8" t="s">
        <v>869</v>
      </c>
    </row>
    <row r="53" customFormat="false" ht="32.8" hidden="false" customHeight="false" outlineLevel="0" collapsed="false">
      <c r="A53" s="8" t="s">
        <v>1114</v>
      </c>
      <c r="B53" s="8" t="s">
        <v>52</v>
      </c>
      <c r="C53" s="8" t="s">
        <v>1115</v>
      </c>
      <c r="D53" s="8" t="s">
        <v>1116</v>
      </c>
      <c r="E53" s="8" t="s">
        <v>1117</v>
      </c>
      <c r="F53" s="8" t="s">
        <v>1118</v>
      </c>
      <c r="G53" s="8" t="s">
        <v>866</v>
      </c>
      <c r="H53" s="8" t="s">
        <v>5</v>
      </c>
      <c r="I53" s="8" t="s">
        <v>18</v>
      </c>
      <c r="J53" s="8" t="s">
        <v>69</v>
      </c>
      <c r="K53" s="8" t="s">
        <v>867</v>
      </c>
      <c r="L53" s="8" t="s">
        <v>43</v>
      </c>
      <c r="M53" s="8" t="s">
        <v>116</v>
      </c>
      <c r="N53" s="8" t="s">
        <v>868</v>
      </c>
      <c r="O53" s="8" t="s">
        <v>869</v>
      </c>
    </row>
    <row r="54" customFormat="false" ht="32.8" hidden="false" customHeight="false" outlineLevel="0" collapsed="false">
      <c r="A54" s="8" t="s">
        <v>1119</v>
      </c>
      <c r="B54" s="8" t="s">
        <v>53</v>
      </c>
      <c r="C54" s="8" t="s">
        <v>1120</v>
      </c>
      <c r="D54" s="8" t="s">
        <v>1121</v>
      </c>
      <c r="E54" s="8" t="s">
        <v>1122</v>
      </c>
      <c r="F54" s="8" t="s">
        <v>1123</v>
      </c>
      <c r="G54" s="8" t="s">
        <v>1124</v>
      </c>
      <c r="H54" s="8" t="s">
        <v>5</v>
      </c>
      <c r="I54" s="8" t="s">
        <v>1030</v>
      </c>
      <c r="J54" s="8" t="s">
        <v>68</v>
      </c>
      <c r="K54" s="8" t="s">
        <v>1125</v>
      </c>
      <c r="L54" s="8" t="s">
        <v>1126</v>
      </c>
      <c r="M54" s="8" t="s">
        <v>116</v>
      </c>
      <c r="N54" s="8" t="s">
        <v>868</v>
      </c>
      <c r="O54" s="8" t="s">
        <v>869</v>
      </c>
    </row>
    <row r="55" customFormat="false" ht="22.35" hidden="false" customHeight="false" outlineLevel="0" collapsed="false">
      <c r="A55" s="8" t="s">
        <v>1127</v>
      </c>
      <c r="B55" s="8" t="s">
        <v>53</v>
      </c>
      <c r="C55" s="8" t="s">
        <v>1128</v>
      </c>
      <c r="D55" s="8" t="s">
        <v>1129</v>
      </c>
      <c r="E55" s="8" t="s">
        <v>1130</v>
      </c>
      <c r="F55" s="8" t="s">
        <v>1131</v>
      </c>
      <c r="G55" s="8" t="s">
        <v>1086</v>
      </c>
      <c r="H55" s="8" t="s">
        <v>5</v>
      </c>
      <c r="I55" s="8" t="s">
        <v>16</v>
      </c>
      <c r="J55" s="8" t="s">
        <v>68</v>
      </c>
      <c r="K55" s="8" t="s">
        <v>1087</v>
      </c>
      <c r="L55" s="8" t="s">
        <v>43</v>
      </c>
      <c r="M55" s="8" t="s">
        <v>116</v>
      </c>
      <c r="N55" s="8" t="s">
        <v>868</v>
      </c>
      <c r="O55" s="8" t="s">
        <v>869</v>
      </c>
    </row>
    <row r="56" customFormat="false" ht="22.35" hidden="false" customHeight="false" outlineLevel="0" collapsed="false">
      <c r="A56" s="8" t="s">
        <v>1132</v>
      </c>
      <c r="B56" s="8" t="s">
        <v>53</v>
      </c>
      <c r="C56" s="8" t="s">
        <v>1133</v>
      </c>
      <c r="D56" s="8" t="s">
        <v>1129</v>
      </c>
      <c r="E56" s="8" t="s">
        <v>1134</v>
      </c>
      <c r="F56" s="8" t="s">
        <v>1135</v>
      </c>
      <c r="G56" s="8" t="s">
        <v>1086</v>
      </c>
      <c r="H56" s="8" t="s">
        <v>5</v>
      </c>
      <c r="I56" s="8" t="s">
        <v>16</v>
      </c>
      <c r="J56" s="8" t="s">
        <v>68</v>
      </c>
      <c r="K56" s="8" t="s">
        <v>1087</v>
      </c>
      <c r="L56" s="8" t="s">
        <v>43</v>
      </c>
      <c r="M56" s="8" t="s">
        <v>116</v>
      </c>
      <c r="N56" s="8" t="s">
        <v>868</v>
      </c>
      <c r="O56" s="8" t="s">
        <v>869</v>
      </c>
    </row>
    <row r="57" customFormat="false" ht="22.35" hidden="false" customHeight="false" outlineLevel="0" collapsed="false">
      <c r="A57" s="8" t="s">
        <v>1136</v>
      </c>
      <c r="B57" s="8" t="s">
        <v>53</v>
      </c>
      <c r="C57" s="8" t="s">
        <v>1137</v>
      </c>
      <c r="D57" s="8" t="s">
        <v>1138</v>
      </c>
      <c r="E57" s="8" t="s">
        <v>1139</v>
      </c>
      <c r="F57" s="8" t="s">
        <v>1140</v>
      </c>
      <c r="G57" s="8" t="s">
        <v>1086</v>
      </c>
      <c r="H57" s="8" t="s">
        <v>5</v>
      </c>
      <c r="I57" s="8" t="s">
        <v>16</v>
      </c>
      <c r="J57" s="8" t="s">
        <v>68</v>
      </c>
      <c r="K57" s="8" t="s">
        <v>1087</v>
      </c>
      <c r="L57" s="8" t="s">
        <v>43</v>
      </c>
      <c r="M57" s="8" t="s">
        <v>116</v>
      </c>
      <c r="N57" s="8" t="s">
        <v>868</v>
      </c>
      <c r="O57" s="8" t="s">
        <v>869</v>
      </c>
    </row>
    <row r="58" customFormat="false" ht="22.35" hidden="false" customHeight="false" outlineLevel="0" collapsed="false">
      <c r="A58" s="8" t="s">
        <v>1141</v>
      </c>
      <c r="B58" s="8" t="s">
        <v>53</v>
      </c>
      <c r="C58" s="8" t="s">
        <v>1142</v>
      </c>
      <c r="D58" s="8" t="s">
        <v>1143</v>
      </c>
      <c r="E58" s="8" t="s">
        <v>1144</v>
      </c>
      <c r="F58" s="8" t="s">
        <v>1145</v>
      </c>
      <c r="G58" s="8" t="s">
        <v>1086</v>
      </c>
      <c r="H58" s="8" t="s">
        <v>5</v>
      </c>
      <c r="I58" s="8" t="s">
        <v>16</v>
      </c>
      <c r="J58" s="8" t="s">
        <v>68</v>
      </c>
      <c r="K58" s="8" t="s">
        <v>1087</v>
      </c>
      <c r="L58" s="8" t="s">
        <v>43</v>
      </c>
      <c r="M58" s="8" t="s">
        <v>116</v>
      </c>
      <c r="N58" s="8" t="s">
        <v>868</v>
      </c>
      <c r="O58" s="8" t="s">
        <v>869</v>
      </c>
    </row>
    <row r="59" customFormat="false" ht="32.8" hidden="false" customHeight="false" outlineLevel="0" collapsed="false">
      <c r="A59" s="8" t="s">
        <v>1146</v>
      </c>
      <c r="B59" s="8" t="s">
        <v>53</v>
      </c>
      <c r="C59" s="8" t="s">
        <v>1147</v>
      </c>
      <c r="D59" s="8" t="s">
        <v>1148</v>
      </c>
      <c r="E59" s="8" t="s">
        <v>1149</v>
      </c>
      <c r="F59" s="8" t="s">
        <v>1150</v>
      </c>
      <c r="G59" s="8" t="s">
        <v>1151</v>
      </c>
      <c r="H59" s="8" t="s">
        <v>5</v>
      </c>
      <c r="I59" s="8" t="s">
        <v>1030</v>
      </c>
      <c r="J59" s="8" t="s">
        <v>68</v>
      </c>
      <c r="K59" s="8" t="s">
        <v>1152</v>
      </c>
      <c r="L59" s="8" t="s">
        <v>43</v>
      </c>
      <c r="M59" s="8" t="s">
        <v>116</v>
      </c>
      <c r="N59" s="8" t="s">
        <v>868</v>
      </c>
      <c r="O59" s="8" t="s">
        <v>869</v>
      </c>
    </row>
    <row r="60" customFormat="false" ht="22.35" hidden="false" customHeight="false" outlineLevel="0" collapsed="false">
      <c r="A60" s="8" t="s">
        <v>1153</v>
      </c>
      <c r="B60" s="8" t="s">
        <v>53</v>
      </c>
      <c r="C60" s="8" t="s">
        <v>1154</v>
      </c>
      <c r="D60" s="8" t="s">
        <v>1155</v>
      </c>
      <c r="E60" s="8" t="s">
        <v>1156</v>
      </c>
      <c r="F60" s="8" t="s">
        <v>1157</v>
      </c>
      <c r="G60" s="8" t="s">
        <v>1086</v>
      </c>
      <c r="H60" s="8" t="s">
        <v>5</v>
      </c>
      <c r="I60" s="8" t="s">
        <v>16</v>
      </c>
      <c r="J60" s="8" t="s">
        <v>68</v>
      </c>
      <c r="K60" s="8" t="s">
        <v>1087</v>
      </c>
      <c r="L60" s="8" t="s">
        <v>43</v>
      </c>
      <c r="M60" s="8" t="s">
        <v>116</v>
      </c>
      <c r="N60" s="8" t="s">
        <v>868</v>
      </c>
      <c r="O60" s="8" t="s">
        <v>869</v>
      </c>
    </row>
    <row r="61" customFormat="false" ht="22.35" hidden="false" customHeight="false" outlineLevel="0" collapsed="false">
      <c r="A61" s="8" t="s">
        <v>1158</v>
      </c>
      <c r="B61" s="8" t="s">
        <v>53</v>
      </c>
      <c r="C61" s="8" t="s">
        <v>1159</v>
      </c>
      <c r="D61" s="8" t="s">
        <v>1160</v>
      </c>
      <c r="E61" s="8" t="s">
        <v>1161</v>
      </c>
      <c r="F61" s="8" t="s">
        <v>1162</v>
      </c>
      <c r="G61" s="8" t="s">
        <v>1086</v>
      </c>
      <c r="H61" s="8" t="s">
        <v>5</v>
      </c>
      <c r="I61" s="8" t="s">
        <v>16</v>
      </c>
      <c r="J61" s="8" t="s">
        <v>68</v>
      </c>
      <c r="K61" s="8" t="s">
        <v>1087</v>
      </c>
      <c r="L61" s="8" t="s">
        <v>43</v>
      </c>
      <c r="M61" s="8" t="s">
        <v>116</v>
      </c>
      <c r="N61" s="8" t="s">
        <v>868</v>
      </c>
      <c r="O61" s="8" t="s">
        <v>869</v>
      </c>
    </row>
    <row r="62" customFormat="false" ht="22.35" hidden="false" customHeight="false" outlineLevel="0" collapsed="false">
      <c r="A62" s="8" t="s">
        <v>1163</v>
      </c>
      <c r="B62" s="8" t="s">
        <v>53</v>
      </c>
      <c r="C62" s="8" t="s">
        <v>1164</v>
      </c>
      <c r="D62" s="8" t="s">
        <v>1165</v>
      </c>
      <c r="E62" s="8" t="s">
        <v>1166</v>
      </c>
      <c r="F62" s="8" t="s">
        <v>1167</v>
      </c>
      <c r="G62" s="8" t="s">
        <v>1086</v>
      </c>
      <c r="H62" s="8" t="s">
        <v>5</v>
      </c>
      <c r="I62" s="8" t="s">
        <v>16</v>
      </c>
      <c r="J62" s="8" t="s">
        <v>69</v>
      </c>
      <c r="K62" s="8" t="s">
        <v>1087</v>
      </c>
      <c r="L62" s="8" t="s">
        <v>43</v>
      </c>
      <c r="M62" s="8" t="s">
        <v>116</v>
      </c>
      <c r="N62" s="8" t="s">
        <v>868</v>
      </c>
      <c r="O62" s="8" t="s">
        <v>869</v>
      </c>
    </row>
    <row r="63" customFormat="false" ht="32.8" hidden="false" customHeight="false" outlineLevel="0" collapsed="false">
      <c r="A63" s="8" t="s">
        <v>1168</v>
      </c>
      <c r="B63" s="8" t="s">
        <v>53</v>
      </c>
      <c r="C63" s="8" t="s">
        <v>1169</v>
      </c>
      <c r="D63" s="8" t="s">
        <v>1170</v>
      </c>
      <c r="E63" s="8" t="s">
        <v>1171</v>
      </c>
      <c r="F63" s="8" t="s">
        <v>1172</v>
      </c>
      <c r="G63" s="8" t="s">
        <v>1037</v>
      </c>
      <c r="H63" s="8" t="s">
        <v>5</v>
      </c>
      <c r="I63" s="8" t="s">
        <v>1030</v>
      </c>
      <c r="J63" s="8" t="s">
        <v>68</v>
      </c>
      <c r="K63" s="8" t="s">
        <v>1038</v>
      </c>
      <c r="L63" s="8" t="s">
        <v>43</v>
      </c>
      <c r="M63" s="8" t="s">
        <v>116</v>
      </c>
      <c r="N63" s="8" t="s">
        <v>868</v>
      </c>
      <c r="O63" s="8" t="s">
        <v>869</v>
      </c>
    </row>
    <row r="64" customFormat="false" ht="32.8" hidden="false" customHeight="false" outlineLevel="0" collapsed="false">
      <c r="A64" s="8" t="s">
        <v>1173</v>
      </c>
      <c r="B64" s="8" t="s">
        <v>53</v>
      </c>
      <c r="C64" s="8" t="s">
        <v>1174</v>
      </c>
      <c r="D64" s="8" t="s">
        <v>1175</v>
      </c>
      <c r="E64" s="8" t="s">
        <v>1171</v>
      </c>
      <c r="F64" s="8" t="s">
        <v>1176</v>
      </c>
      <c r="G64" s="8" t="s">
        <v>1037</v>
      </c>
      <c r="H64" s="8" t="s">
        <v>5</v>
      </c>
      <c r="I64" s="8" t="s">
        <v>1030</v>
      </c>
      <c r="J64" s="8" t="s">
        <v>68</v>
      </c>
      <c r="K64" s="8" t="s">
        <v>1038</v>
      </c>
      <c r="L64" s="8" t="s">
        <v>43</v>
      </c>
      <c r="M64" s="8" t="s">
        <v>116</v>
      </c>
      <c r="N64" s="8" t="s">
        <v>868</v>
      </c>
      <c r="O64" s="8" t="s">
        <v>869</v>
      </c>
    </row>
    <row r="65" customFormat="false" ht="43.25" hidden="false" customHeight="false" outlineLevel="0" collapsed="false">
      <c r="A65" s="8" t="s">
        <v>1177</v>
      </c>
      <c r="B65" s="8" t="s">
        <v>53</v>
      </c>
      <c r="C65" s="8" t="s">
        <v>1178</v>
      </c>
      <c r="D65" s="8" t="s">
        <v>1179</v>
      </c>
      <c r="E65" s="8" t="s">
        <v>1180</v>
      </c>
      <c r="F65" s="8" t="s">
        <v>1181</v>
      </c>
      <c r="G65" s="8" t="s">
        <v>1182</v>
      </c>
      <c r="H65" s="8" t="s">
        <v>5</v>
      </c>
      <c r="I65" s="8" t="s">
        <v>16</v>
      </c>
      <c r="J65" s="8" t="s">
        <v>68</v>
      </c>
      <c r="K65" s="8" t="s">
        <v>1183</v>
      </c>
      <c r="L65" s="8" t="s">
        <v>1184</v>
      </c>
      <c r="M65" s="8" t="s">
        <v>116</v>
      </c>
      <c r="N65" s="8" t="s">
        <v>868</v>
      </c>
      <c r="O65" s="8" t="s">
        <v>869</v>
      </c>
    </row>
    <row r="66" customFormat="false" ht="32.8" hidden="false" customHeight="false" outlineLevel="0" collapsed="false">
      <c r="A66" s="8" t="s">
        <v>1185</v>
      </c>
      <c r="B66" s="8" t="s">
        <v>53</v>
      </c>
      <c r="C66" s="8" t="s">
        <v>1186</v>
      </c>
      <c r="D66" s="8" t="s">
        <v>1187</v>
      </c>
      <c r="E66" s="8" t="s">
        <v>1188</v>
      </c>
      <c r="F66" s="8" t="s">
        <v>1189</v>
      </c>
      <c r="G66" s="8" t="s">
        <v>1037</v>
      </c>
      <c r="H66" s="8" t="s">
        <v>5</v>
      </c>
      <c r="I66" s="8" t="s">
        <v>1030</v>
      </c>
      <c r="J66" s="8" t="s">
        <v>69</v>
      </c>
      <c r="K66" s="8" t="s">
        <v>1038</v>
      </c>
      <c r="L66" s="8" t="s">
        <v>43</v>
      </c>
      <c r="M66" s="8" t="s">
        <v>116</v>
      </c>
      <c r="N66" s="8" t="s">
        <v>868</v>
      </c>
      <c r="O66" s="8" t="s">
        <v>869</v>
      </c>
    </row>
    <row r="67" customFormat="false" ht="43.25" hidden="false" customHeight="false" outlineLevel="0" collapsed="false">
      <c r="A67" s="8" t="s">
        <v>1190</v>
      </c>
      <c r="B67" s="8" t="s">
        <v>53</v>
      </c>
      <c r="C67" s="8" t="s">
        <v>1191</v>
      </c>
      <c r="D67" s="8" t="s">
        <v>1192</v>
      </c>
      <c r="E67" s="8" t="s">
        <v>1193</v>
      </c>
      <c r="F67" s="8" t="s">
        <v>1194</v>
      </c>
      <c r="G67" s="8" t="s">
        <v>866</v>
      </c>
      <c r="H67" s="8" t="s">
        <v>5</v>
      </c>
      <c r="I67" s="8" t="s">
        <v>18</v>
      </c>
      <c r="J67" s="8" t="s">
        <v>69</v>
      </c>
      <c r="K67" s="8" t="s">
        <v>867</v>
      </c>
      <c r="L67" s="8" t="s">
        <v>43</v>
      </c>
      <c r="M67" s="8" t="s">
        <v>116</v>
      </c>
      <c r="N67" s="8" t="s">
        <v>868</v>
      </c>
      <c r="O67" s="8" t="s">
        <v>869</v>
      </c>
    </row>
    <row r="68" customFormat="false" ht="32.8" hidden="false" customHeight="false" outlineLevel="0" collapsed="false">
      <c r="A68" s="8" t="s">
        <v>1195</v>
      </c>
      <c r="B68" s="8" t="s">
        <v>54</v>
      </c>
      <c r="C68" s="8" t="s">
        <v>1196</v>
      </c>
      <c r="D68" s="8" t="s">
        <v>1197</v>
      </c>
      <c r="E68" s="8" t="s">
        <v>1198</v>
      </c>
      <c r="F68" s="8" t="s">
        <v>1199</v>
      </c>
      <c r="G68" s="8" t="s">
        <v>1200</v>
      </c>
      <c r="H68" s="8" t="s">
        <v>5</v>
      </c>
      <c r="I68" s="8" t="s">
        <v>18</v>
      </c>
      <c r="J68" s="8" t="s">
        <v>68</v>
      </c>
      <c r="K68" s="8" t="s">
        <v>1201</v>
      </c>
      <c r="L68" s="8" t="s">
        <v>43</v>
      </c>
      <c r="M68" s="8" t="s">
        <v>116</v>
      </c>
      <c r="N68" s="8" t="s">
        <v>868</v>
      </c>
      <c r="O68" s="8" t="s">
        <v>869</v>
      </c>
    </row>
    <row r="69" customFormat="false" ht="43.25" hidden="false" customHeight="false" outlineLevel="0" collapsed="false">
      <c r="A69" s="8" t="s">
        <v>1202</v>
      </c>
      <c r="B69" s="8" t="s">
        <v>54</v>
      </c>
      <c r="C69" s="8" t="s">
        <v>1203</v>
      </c>
      <c r="D69" s="8" t="s">
        <v>1204</v>
      </c>
      <c r="E69" s="8" t="s">
        <v>1205</v>
      </c>
      <c r="F69" s="8" t="s">
        <v>1206</v>
      </c>
      <c r="G69" s="8" t="s">
        <v>1207</v>
      </c>
      <c r="H69" s="8" t="s">
        <v>5</v>
      </c>
      <c r="I69" s="8" t="s">
        <v>16</v>
      </c>
      <c r="J69" s="8" t="s">
        <v>68</v>
      </c>
      <c r="K69" s="8" t="s">
        <v>1208</v>
      </c>
      <c r="L69" s="8" t="s">
        <v>1209</v>
      </c>
      <c r="M69" s="8" t="s">
        <v>116</v>
      </c>
      <c r="N69" s="8" t="s">
        <v>868</v>
      </c>
      <c r="O69" s="8" t="s">
        <v>869</v>
      </c>
    </row>
    <row r="70" customFormat="false" ht="32.8" hidden="false" customHeight="false" outlineLevel="0" collapsed="false">
      <c r="A70" s="8" t="s">
        <v>1210</v>
      </c>
      <c r="B70" s="8" t="s">
        <v>54</v>
      </c>
      <c r="C70" s="8" t="s">
        <v>1211</v>
      </c>
      <c r="D70" s="8" t="s">
        <v>1212</v>
      </c>
      <c r="E70" s="8" t="s">
        <v>1213</v>
      </c>
      <c r="F70" s="8" t="s">
        <v>1214</v>
      </c>
      <c r="G70" s="8" t="s">
        <v>1054</v>
      </c>
      <c r="H70" s="8" t="s">
        <v>5</v>
      </c>
      <c r="I70" s="8" t="s">
        <v>1030</v>
      </c>
      <c r="J70" s="8" t="s">
        <v>68</v>
      </c>
      <c r="K70" s="8" t="s">
        <v>1055</v>
      </c>
      <c r="L70" s="8" t="s">
        <v>43</v>
      </c>
      <c r="M70" s="8" t="s">
        <v>116</v>
      </c>
      <c r="N70" s="8" t="s">
        <v>868</v>
      </c>
      <c r="O70" s="8" t="s">
        <v>869</v>
      </c>
    </row>
    <row r="71" customFormat="false" ht="22.35" hidden="false" customHeight="false" outlineLevel="0" collapsed="false">
      <c r="A71" s="8" t="s">
        <v>1215</v>
      </c>
      <c r="B71" s="8" t="s">
        <v>54</v>
      </c>
      <c r="C71" s="8" t="s">
        <v>1216</v>
      </c>
      <c r="D71" s="8" t="s">
        <v>1217</v>
      </c>
      <c r="E71" s="8" t="s">
        <v>1218</v>
      </c>
      <c r="F71" s="8" t="s">
        <v>1219</v>
      </c>
      <c r="G71" s="8" t="s">
        <v>1220</v>
      </c>
      <c r="H71" s="8" t="s">
        <v>5</v>
      </c>
      <c r="I71" s="8" t="s">
        <v>16</v>
      </c>
      <c r="J71" s="8" t="s">
        <v>69</v>
      </c>
      <c r="K71" s="8" t="s">
        <v>1221</v>
      </c>
      <c r="L71" s="8" t="s">
        <v>43</v>
      </c>
      <c r="M71" s="8" t="s">
        <v>116</v>
      </c>
      <c r="N71" s="8" t="s">
        <v>868</v>
      </c>
      <c r="O71" s="8" t="s">
        <v>869</v>
      </c>
    </row>
    <row r="72" customFormat="false" ht="43.25" hidden="false" customHeight="false" outlineLevel="0" collapsed="false">
      <c r="A72" s="8" t="s">
        <v>1222</v>
      </c>
      <c r="B72" s="8" t="s">
        <v>54</v>
      </c>
      <c r="C72" s="8" t="s">
        <v>1223</v>
      </c>
      <c r="D72" s="8" t="s">
        <v>1224</v>
      </c>
      <c r="E72" s="8" t="s">
        <v>1225</v>
      </c>
      <c r="F72" s="8" t="s">
        <v>1226</v>
      </c>
      <c r="G72" s="8" t="s">
        <v>1054</v>
      </c>
      <c r="H72" s="8" t="s">
        <v>5</v>
      </c>
      <c r="I72" s="8" t="s">
        <v>1030</v>
      </c>
      <c r="J72" s="8" t="s">
        <v>68</v>
      </c>
      <c r="K72" s="8" t="s">
        <v>1055</v>
      </c>
      <c r="L72" s="8" t="s">
        <v>43</v>
      </c>
      <c r="M72" s="8" t="s">
        <v>116</v>
      </c>
      <c r="N72" s="8" t="s">
        <v>868</v>
      </c>
      <c r="O72" s="8" t="s">
        <v>869</v>
      </c>
    </row>
    <row r="73" customFormat="false" ht="22.35" hidden="false" customHeight="false" outlineLevel="0" collapsed="false">
      <c r="A73" s="8" t="s">
        <v>1227</v>
      </c>
      <c r="B73" s="8" t="s">
        <v>54</v>
      </c>
      <c r="C73" s="8" t="s">
        <v>1228</v>
      </c>
      <c r="D73" s="8" t="s">
        <v>1229</v>
      </c>
      <c r="E73" s="8" t="s">
        <v>1230</v>
      </c>
      <c r="F73" s="8" t="s">
        <v>1231</v>
      </c>
      <c r="G73" s="8" t="s">
        <v>1220</v>
      </c>
      <c r="H73" s="8" t="s">
        <v>5</v>
      </c>
      <c r="I73" s="8" t="s">
        <v>16</v>
      </c>
      <c r="J73" s="8" t="s">
        <v>69</v>
      </c>
      <c r="K73" s="8" t="s">
        <v>1221</v>
      </c>
      <c r="L73" s="8" t="s">
        <v>43</v>
      </c>
      <c r="M73" s="8" t="s">
        <v>116</v>
      </c>
      <c r="N73" s="8" t="s">
        <v>868</v>
      </c>
      <c r="O73" s="8" t="s">
        <v>869</v>
      </c>
    </row>
    <row r="74" customFormat="false" ht="53.7" hidden="false" customHeight="false" outlineLevel="0" collapsed="false">
      <c r="A74" s="8" t="s">
        <v>1232</v>
      </c>
      <c r="B74" s="8" t="s">
        <v>54</v>
      </c>
      <c r="C74" s="8" t="s">
        <v>1233</v>
      </c>
      <c r="D74" s="8" t="s">
        <v>1234</v>
      </c>
      <c r="E74" s="8" t="s">
        <v>1235</v>
      </c>
      <c r="F74" s="8" t="s">
        <v>1236</v>
      </c>
      <c r="G74" s="8" t="s">
        <v>1054</v>
      </c>
      <c r="H74" s="8" t="s">
        <v>5</v>
      </c>
      <c r="I74" s="8" t="s">
        <v>1030</v>
      </c>
      <c r="J74" s="8" t="s">
        <v>68</v>
      </c>
      <c r="K74" s="8" t="s">
        <v>1055</v>
      </c>
      <c r="L74" s="8" t="s">
        <v>43</v>
      </c>
      <c r="M74" s="8" t="s">
        <v>116</v>
      </c>
      <c r="N74" s="8" t="s">
        <v>868</v>
      </c>
      <c r="O74" s="8" t="s">
        <v>869</v>
      </c>
    </row>
    <row r="75" customFormat="false" ht="22.35" hidden="false" customHeight="false" outlineLevel="0" collapsed="false">
      <c r="A75" s="8" t="s">
        <v>1237</v>
      </c>
      <c r="B75" s="8" t="s">
        <v>55</v>
      </c>
      <c r="C75" s="8" t="s">
        <v>1238</v>
      </c>
      <c r="D75" s="8" t="s">
        <v>1239</v>
      </c>
      <c r="E75" s="8" t="s">
        <v>1240</v>
      </c>
      <c r="F75" s="8" t="s">
        <v>1241</v>
      </c>
      <c r="G75" s="8" t="s">
        <v>890</v>
      </c>
      <c r="H75" s="8" t="s">
        <v>5</v>
      </c>
      <c r="I75" s="8" t="s">
        <v>891</v>
      </c>
      <c r="J75" s="8" t="s">
        <v>68</v>
      </c>
      <c r="K75" s="8" t="s">
        <v>892</v>
      </c>
      <c r="L75" s="8" t="s">
        <v>43</v>
      </c>
      <c r="M75" s="8" t="s">
        <v>116</v>
      </c>
      <c r="N75" s="8" t="s">
        <v>868</v>
      </c>
      <c r="O75" s="8" t="s">
        <v>869</v>
      </c>
    </row>
    <row r="76" customFormat="false" ht="43.25" hidden="false" customHeight="false" outlineLevel="0" collapsed="false">
      <c r="A76" s="8" t="s">
        <v>1242</v>
      </c>
      <c r="B76" s="8" t="s">
        <v>55</v>
      </c>
      <c r="C76" s="8" t="s">
        <v>1243</v>
      </c>
      <c r="D76" s="8" t="s">
        <v>1244</v>
      </c>
      <c r="E76" s="8" t="s">
        <v>1245</v>
      </c>
      <c r="F76" s="8" t="s">
        <v>1246</v>
      </c>
      <c r="G76" s="8" t="s">
        <v>1151</v>
      </c>
      <c r="H76" s="8" t="s">
        <v>5</v>
      </c>
      <c r="I76" s="8" t="s">
        <v>1247</v>
      </c>
      <c r="J76" s="8" t="s">
        <v>68</v>
      </c>
      <c r="K76" s="8" t="s">
        <v>1152</v>
      </c>
      <c r="L76" s="8" t="s">
        <v>43</v>
      </c>
      <c r="M76" s="8" t="s">
        <v>116</v>
      </c>
      <c r="N76" s="8" t="s">
        <v>868</v>
      </c>
      <c r="O76" s="8" t="s">
        <v>869</v>
      </c>
    </row>
    <row r="77" customFormat="false" ht="32.8" hidden="false" customHeight="false" outlineLevel="0" collapsed="false">
      <c r="A77" s="8" t="s">
        <v>1248</v>
      </c>
      <c r="B77" s="8" t="s">
        <v>55</v>
      </c>
      <c r="C77" s="8" t="s">
        <v>1249</v>
      </c>
      <c r="D77" s="8" t="s">
        <v>1250</v>
      </c>
      <c r="E77" s="8" t="s">
        <v>1251</v>
      </c>
      <c r="F77" s="8" t="s">
        <v>1252</v>
      </c>
      <c r="G77" s="8" t="s">
        <v>866</v>
      </c>
      <c r="H77" s="8" t="s">
        <v>5</v>
      </c>
      <c r="I77" s="8" t="s">
        <v>18</v>
      </c>
      <c r="J77" s="8" t="s">
        <v>68</v>
      </c>
      <c r="K77" s="8" t="s">
        <v>867</v>
      </c>
      <c r="L77" s="8" t="s">
        <v>43</v>
      </c>
      <c r="M77" s="8" t="s">
        <v>116</v>
      </c>
      <c r="N77" s="8" t="s">
        <v>868</v>
      </c>
      <c r="O77" s="8" t="s">
        <v>869</v>
      </c>
    </row>
    <row r="78" customFormat="false" ht="53.7" hidden="false" customHeight="false" outlineLevel="0" collapsed="false">
      <c r="A78" s="8" t="s">
        <v>1253</v>
      </c>
      <c r="B78" s="8" t="s">
        <v>55</v>
      </c>
      <c r="C78" s="8" t="s">
        <v>1254</v>
      </c>
      <c r="D78" s="8" t="s">
        <v>1255</v>
      </c>
      <c r="E78" s="8" t="s">
        <v>1256</v>
      </c>
      <c r="F78" s="8" t="s">
        <v>1257</v>
      </c>
      <c r="G78" s="8" t="s">
        <v>866</v>
      </c>
      <c r="H78" s="8" t="s">
        <v>5</v>
      </c>
      <c r="I78" s="8" t="s">
        <v>18</v>
      </c>
      <c r="J78" s="8" t="s">
        <v>68</v>
      </c>
      <c r="K78" s="8" t="s">
        <v>867</v>
      </c>
      <c r="L78" s="8" t="s">
        <v>43</v>
      </c>
      <c r="M78" s="8" t="s">
        <v>116</v>
      </c>
      <c r="N78" s="8" t="s">
        <v>868</v>
      </c>
      <c r="O78" s="8" t="s">
        <v>869</v>
      </c>
    </row>
    <row r="79" customFormat="false" ht="22.35" hidden="false" customHeight="false" outlineLevel="0" collapsed="false">
      <c r="A79" s="8" t="s">
        <v>1258</v>
      </c>
      <c r="B79" s="8" t="s">
        <v>55</v>
      </c>
      <c r="C79" s="8" t="s">
        <v>1259</v>
      </c>
      <c r="D79" s="8" t="s">
        <v>1260</v>
      </c>
      <c r="E79" s="8" t="s">
        <v>1261</v>
      </c>
      <c r="F79" s="8" t="s">
        <v>1262</v>
      </c>
      <c r="G79" s="8" t="s">
        <v>866</v>
      </c>
      <c r="H79" s="8" t="s">
        <v>5</v>
      </c>
      <c r="I79" s="8" t="s">
        <v>18</v>
      </c>
      <c r="J79" s="8" t="s">
        <v>68</v>
      </c>
      <c r="K79" s="8" t="s">
        <v>867</v>
      </c>
      <c r="L79" s="8" t="s">
        <v>43</v>
      </c>
      <c r="M79" s="8" t="s">
        <v>116</v>
      </c>
      <c r="N79" s="8" t="s">
        <v>868</v>
      </c>
      <c r="O79" s="8" t="s">
        <v>869</v>
      </c>
    </row>
    <row r="80" customFormat="false" ht="22.35" hidden="false" customHeight="false" outlineLevel="0" collapsed="false">
      <c r="A80" s="8" t="s">
        <v>1263</v>
      </c>
      <c r="B80" s="8" t="s">
        <v>55</v>
      </c>
      <c r="C80" s="8" t="s">
        <v>1264</v>
      </c>
      <c r="D80" s="8" t="s">
        <v>1265</v>
      </c>
      <c r="E80" s="8" t="s">
        <v>1266</v>
      </c>
      <c r="F80" s="8" t="s">
        <v>1267</v>
      </c>
      <c r="G80" s="8" t="s">
        <v>866</v>
      </c>
      <c r="H80" s="8" t="s">
        <v>5</v>
      </c>
      <c r="I80" s="8" t="s">
        <v>18</v>
      </c>
      <c r="J80" s="8" t="s">
        <v>68</v>
      </c>
      <c r="K80" s="8" t="s">
        <v>867</v>
      </c>
      <c r="L80" s="8" t="s">
        <v>43</v>
      </c>
      <c r="M80" s="8" t="s">
        <v>116</v>
      </c>
      <c r="N80" s="8" t="s">
        <v>868</v>
      </c>
      <c r="O80" s="8" t="s">
        <v>869</v>
      </c>
    </row>
    <row r="81" customFormat="false" ht="22.35" hidden="false" customHeight="false" outlineLevel="0" collapsed="false">
      <c r="A81" s="8" t="s">
        <v>1268</v>
      </c>
      <c r="B81" s="8" t="s">
        <v>55</v>
      </c>
      <c r="C81" s="8" t="s">
        <v>1269</v>
      </c>
      <c r="D81" s="8" t="s">
        <v>1270</v>
      </c>
      <c r="E81" s="8" t="s">
        <v>1271</v>
      </c>
      <c r="F81" s="8" t="s">
        <v>1272</v>
      </c>
      <c r="G81" s="8" t="s">
        <v>1273</v>
      </c>
      <c r="H81" s="8" t="s">
        <v>5</v>
      </c>
      <c r="I81" s="8" t="s">
        <v>16</v>
      </c>
      <c r="J81" s="8" t="s">
        <v>69</v>
      </c>
      <c r="K81" s="8" t="s">
        <v>1274</v>
      </c>
      <c r="L81" s="8" t="s">
        <v>43</v>
      </c>
      <c r="M81" s="8" t="s">
        <v>116</v>
      </c>
      <c r="N81" s="8" t="s">
        <v>868</v>
      </c>
      <c r="O81" s="8" t="s">
        <v>869</v>
      </c>
    </row>
    <row r="82" customFormat="false" ht="22.35" hidden="false" customHeight="false" outlineLevel="0" collapsed="false">
      <c r="A82" s="8" t="s">
        <v>1275</v>
      </c>
      <c r="B82" s="8" t="s">
        <v>55</v>
      </c>
      <c r="C82" s="8" t="s">
        <v>1276</v>
      </c>
      <c r="D82" s="8" t="s">
        <v>1277</v>
      </c>
      <c r="E82" s="8" t="s">
        <v>1278</v>
      </c>
      <c r="F82" s="8" t="s">
        <v>1279</v>
      </c>
      <c r="G82" s="8" t="s">
        <v>1086</v>
      </c>
      <c r="H82" s="8" t="s">
        <v>5</v>
      </c>
      <c r="I82" s="8" t="s">
        <v>16</v>
      </c>
      <c r="J82" s="8" t="s">
        <v>69</v>
      </c>
      <c r="K82" s="8" t="s">
        <v>1087</v>
      </c>
      <c r="L82" s="8" t="s">
        <v>43</v>
      </c>
      <c r="M82" s="8" t="s">
        <v>116</v>
      </c>
      <c r="N82" s="8" t="s">
        <v>868</v>
      </c>
      <c r="O82" s="8" t="s">
        <v>869</v>
      </c>
    </row>
    <row r="83" customFormat="false" ht="53.7" hidden="false" customHeight="false" outlineLevel="0" collapsed="false">
      <c r="A83" s="8" t="s">
        <v>1280</v>
      </c>
      <c r="B83" s="8" t="s">
        <v>55</v>
      </c>
      <c r="C83" s="8" t="s">
        <v>1281</v>
      </c>
      <c r="D83" s="8" t="s">
        <v>1282</v>
      </c>
      <c r="E83" s="8" t="s">
        <v>1283</v>
      </c>
      <c r="F83" s="8" t="s">
        <v>1284</v>
      </c>
      <c r="G83" s="8" t="s">
        <v>1273</v>
      </c>
      <c r="H83" s="8" t="s">
        <v>5</v>
      </c>
      <c r="I83" s="8" t="s">
        <v>1030</v>
      </c>
      <c r="J83" s="8" t="s">
        <v>68</v>
      </c>
      <c r="K83" s="8" t="s">
        <v>1274</v>
      </c>
      <c r="L83" s="8" t="s">
        <v>43</v>
      </c>
      <c r="M83" s="8" t="s">
        <v>116</v>
      </c>
      <c r="N83" s="8" t="s">
        <v>868</v>
      </c>
      <c r="O83" s="8" t="s">
        <v>869</v>
      </c>
    </row>
    <row r="84" customFormat="false" ht="74.6" hidden="false" customHeight="false" outlineLevel="0" collapsed="false">
      <c r="A84" s="8" t="s">
        <v>1285</v>
      </c>
      <c r="B84" s="8" t="s">
        <v>55</v>
      </c>
      <c r="C84" s="8" t="s">
        <v>1286</v>
      </c>
      <c r="D84" s="8" t="s">
        <v>1287</v>
      </c>
      <c r="E84" s="8" t="s">
        <v>1261</v>
      </c>
      <c r="F84" s="8" t="s">
        <v>1288</v>
      </c>
      <c r="G84" s="8" t="s">
        <v>1289</v>
      </c>
      <c r="H84" s="8" t="s">
        <v>5</v>
      </c>
      <c r="I84" s="8" t="s">
        <v>1030</v>
      </c>
      <c r="J84" s="8" t="s">
        <v>68</v>
      </c>
      <c r="K84" s="8" t="s">
        <v>1290</v>
      </c>
      <c r="L84" s="8" t="s">
        <v>1291</v>
      </c>
      <c r="M84" s="8" t="s">
        <v>116</v>
      </c>
      <c r="N84" s="8" t="s">
        <v>868</v>
      </c>
      <c r="O84" s="8" t="s">
        <v>869</v>
      </c>
    </row>
    <row r="85" customFormat="false" ht="22.35" hidden="false" customHeight="false" outlineLevel="0" collapsed="false">
      <c r="A85" s="8" t="s">
        <v>1292</v>
      </c>
      <c r="B85" s="8" t="s">
        <v>56</v>
      </c>
      <c r="C85" s="8" t="s">
        <v>1293</v>
      </c>
      <c r="D85" s="8" t="s">
        <v>1294</v>
      </c>
      <c r="E85" s="8" t="s">
        <v>1295</v>
      </c>
      <c r="F85" s="8" t="s">
        <v>1296</v>
      </c>
      <c r="G85" s="8" t="s">
        <v>890</v>
      </c>
      <c r="H85" s="8" t="s">
        <v>5</v>
      </c>
      <c r="I85" s="8" t="s">
        <v>891</v>
      </c>
      <c r="J85" s="8" t="s">
        <v>68</v>
      </c>
      <c r="K85" s="8" t="s">
        <v>892</v>
      </c>
      <c r="L85" s="8" t="s">
        <v>43</v>
      </c>
      <c r="M85" s="8" t="s">
        <v>116</v>
      </c>
      <c r="N85" s="8" t="s">
        <v>868</v>
      </c>
      <c r="O85" s="8" t="s">
        <v>869</v>
      </c>
    </row>
    <row r="86" customFormat="false" ht="22.35" hidden="false" customHeight="false" outlineLevel="0" collapsed="false">
      <c r="A86" s="8" t="s">
        <v>1297</v>
      </c>
      <c r="B86" s="8" t="s">
        <v>56</v>
      </c>
      <c r="C86" s="8" t="s">
        <v>1298</v>
      </c>
      <c r="D86" s="8" t="s">
        <v>43</v>
      </c>
      <c r="E86" s="8" t="s">
        <v>1299</v>
      </c>
      <c r="F86" s="8" t="s">
        <v>1300</v>
      </c>
      <c r="G86" s="8" t="s">
        <v>890</v>
      </c>
      <c r="H86" s="8" t="s">
        <v>5</v>
      </c>
      <c r="I86" s="8" t="s">
        <v>891</v>
      </c>
      <c r="J86" s="8" t="s">
        <v>68</v>
      </c>
      <c r="K86" s="8" t="s">
        <v>892</v>
      </c>
      <c r="L86" s="8" t="s">
        <v>43</v>
      </c>
      <c r="M86" s="8" t="s">
        <v>116</v>
      </c>
      <c r="N86" s="8" t="s">
        <v>868</v>
      </c>
      <c r="O86" s="8" t="s">
        <v>869</v>
      </c>
    </row>
    <row r="87" customFormat="false" ht="32.8" hidden="false" customHeight="false" outlineLevel="0" collapsed="false">
      <c r="A87" s="8" t="s">
        <v>1301</v>
      </c>
      <c r="B87" s="8" t="s">
        <v>56</v>
      </c>
      <c r="C87" s="8" t="s">
        <v>1302</v>
      </c>
      <c r="D87" s="8" t="s">
        <v>1303</v>
      </c>
      <c r="E87" s="8" t="s">
        <v>1304</v>
      </c>
      <c r="F87" s="8" t="s">
        <v>1305</v>
      </c>
      <c r="G87" s="8" t="s">
        <v>866</v>
      </c>
      <c r="H87" s="8" t="s">
        <v>5</v>
      </c>
      <c r="I87" s="8" t="s">
        <v>18</v>
      </c>
      <c r="J87" s="8" t="s">
        <v>68</v>
      </c>
      <c r="K87" s="8" t="s">
        <v>867</v>
      </c>
      <c r="L87" s="8" t="s">
        <v>43</v>
      </c>
      <c r="M87" s="8" t="s">
        <v>116</v>
      </c>
      <c r="N87" s="8" t="s">
        <v>868</v>
      </c>
      <c r="O87" s="8" t="s">
        <v>869</v>
      </c>
    </row>
    <row r="88" customFormat="false" ht="22.35" hidden="false" customHeight="false" outlineLevel="0" collapsed="false">
      <c r="A88" s="8" t="s">
        <v>1306</v>
      </c>
      <c r="B88" s="8" t="s">
        <v>56</v>
      </c>
      <c r="C88" s="8" t="s">
        <v>1307</v>
      </c>
      <c r="D88" s="8" t="s">
        <v>1308</v>
      </c>
      <c r="E88" s="8" t="s">
        <v>1309</v>
      </c>
      <c r="F88" s="8" t="s">
        <v>1310</v>
      </c>
      <c r="G88" s="8" t="s">
        <v>866</v>
      </c>
      <c r="H88" s="8" t="s">
        <v>5</v>
      </c>
      <c r="I88" s="8" t="s">
        <v>18</v>
      </c>
      <c r="J88" s="8" t="s">
        <v>68</v>
      </c>
      <c r="K88" s="8" t="s">
        <v>867</v>
      </c>
      <c r="L88" s="8" t="s">
        <v>43</v>
      </c>
      <c r="M88" s="8" t="s">
        <v>116</v>
      </c>
      <c r="N88" s="8" t="s">
        <v>868</v>
      </c>
      <c r="O88" s="8" t="s">
        <v>869</v>
      </c>
    </row>
    <row r="89" customFormat="false" ht="32.8" hidden="false" customHeight="false" outlineLevel="0" collapsed="false">
      <c r="A89" s="8" t="s">
        <v>1311</v>
      </c>
      <c r="B89" s="8" t="s">
        <v>56</v>
      </c>
      <c r="C89" s="8" t="s">
        <v>1312</v>
      </c>
      <c r="D89" s="8" t="s">
        <v>1313</v>
      </c>
      <c r="E89" s="8" t="s">
        <v>1314</v>
      </c>
      <c r="F89" s="8" t="s">
        <v>1315</v>
      </c>
      <c r="G89" s="8" t="s">
        <v>866</v>
      </c>
      <c r="H89" s="8" t="s">
        <v>5</v>
      </c>
      <c r="I89" s="8" t="s">
        <v>18</v>
      </c>
      <c r="J89" s="8" t="s">
        <v>68</v>
      </c>
      <c r="K89" s="8" t="s">
        <v>867</v>
      </c>
      <c r="L89" s="8" t="s">
        <v>43</v>
      </c>
      <c r="M89" s="8" t="s">
        <v>116</v>
      </c>
      <c r="N89" s="8" t="s">
        <v>868</v>
      </c>
      <c r="O89" s="8" t="s">
        <v>869</v>
      </c>
    </row>
    <row r="90" customFormat="false" ht="32.8" hidden="false" customHeight="false" outlineLevel="0" collapsed="false">
      <c r="A90" s="8" t="s">
        <v>1316</v>
      </c>
      <c r="B90" s="8" t="s">
        <v>56</v>
      </c>
      <c r="C90" s="8" t="s">
        <v>1317</v>
      </c>
      <c r="D90" s="8" t="s">
        <v>1318</v>
      </c>
      <c r="E90" s="8" t="s">
        <v>1319</v>
      </c>
      <c r="F90" s="8" t="s">
        <v>1320</v>
      </c>
      <c r="G90" s="8" t="s">
        <v>866</v>
      </c>
      <c r="H90" s="8" t="s">
        <v>5</v>
      </c>
      <c r="I90" s="8" t="s">
        <v>18</v>
      </c>
      <c r="J90" s="8" t="s">
        <v>68</v>
      </c>
      <c r="K90" s="8" t="s">
        <v>867</v>
      </c>
      <c r="L90" s="8" t="s">
        <v>43</v>
      </c>
      <c r="M90" s="8" t="s">
        <v>116</v>
      </c>
      <c r="N90" s="8" t="s">
        <v>868</v>
      </c>
      <c r="O90" s="8" t="s">
        <v>869</v>
      </c>
    </row>
    <row r="91" customFormat="false" ht="22.35" hidden="false" customHeight="false" outlineLevel="0" collapsed="false">
      <c r="A91" s="8" t="s">
        <v>1321</v>
      </c>
      <c r="B91" s="8" t="s">
        <v>56</v>
      </c>
      <c r="C91" s="8" t="s">
        <v>1322</v>
      </c>
      <c r="D91" s="8" t="s">
        <v>1323</v>
      </c>
      <c r="E91" s="8" t="s">
        <v>1324</v>
      </c>
      <c r="F91" s="8" t="s">
        <v>1325</v>
      </c>
      <c r="G91" s="8" t="s">
        <v>890</v>
      </c>
      <c r="H91" s="8" t="s">
        <v>5</v>
      </c>
      <c r="I91" s="8" t="s">
        <v>891</v>
      </c>
      <c r="J91" s="8" t="s">
        <v>68</v>
      </c>
      <c r="K91" s="8" t="s">
        <v>892</v>
      </c>
      <c r="L91" s="8" t="s">
        <v>43</v>
      </c>
      <c r="M91" s="8" t="s">
        <v>116</v>
      </c>
      <c r="N91" s="8" t="s">
        <v>868</v>
      </c>
      <c r="O91" s="8" t="s">
        <v>869</v>
      </c>
    </row>
    <row r="92" customFormat="false" ht="22.35" hidden="false" customHeight="false" outlineLevel="0" collapsed="false">
      <c r="A92" s="8" t="s">
        <v>1326</v>
      </c>
      <c r="B92" s="8" t="s">
        <v>56</v>
      </c>
      <c r="C92" s="8" t="s">
        <v>1327</v>
      </c>
      <c r="D92" s="8" t="s">
        <v>1328</v>
      </c>
      <c r="E92" s="8" t="s">
        <v>1329</v>
      </c>
      <c r="F92" s="8" t="s">
        <v>1330</v>
      </c>
      <c r="G92" s="8" t="s">
        <v>866</v>
      </c>
      <c r="H92" s="8" t="s">
        <v>5</v>
      </c>
      <c r="I92" s="8" t="s">
        <v>18</v>
      </c>
      <c r="J92" s="8" t="s">
        <v>70</v>
      </c>
      <c r="K92" s="8" t="s">
        <v>867</v>
      </c>
      <c r="L92" s="8" t="s">
        <v>43</v>
      </c>
      <c r="M92" s="8" t="s">
        <v>116</v>
      </c>
      <c r="N92" s="8" t="s">
        <v>868</v>
      </c>
      <c r="O92" s="8" t="s">
        <v>869</v>
      </c>
    </row>
    <row r="93" customFormat="false" ht="22.35" hidden="false" customHeight="false" outlineLevel="0" collapsed="false">
      <c r="A93" s="8" t="s">
        <v>1331</v>
      </c>
      <c r="B93" s="8" t="s">
        <v>56</v>
      </c>
      <c r="C93" s="8" t="s">
        <v>1332</v>
      </c>
      <c r="D93" s="8" t="s">
        <v>1333</v>
      </c>
      <c r="E93" s="8" t="s">
        <v>1334</v>
      </c>
      <c r="F93" s="8" t="s">
        <v>1335</v>
      </c>
      <c r="G93" s="8" t="s">
        <v>866</v>
      </c>
      <c r="H93" s="8" t="s">
        <v>5</v>
      </c>
      <c r="I93" s="8" t="s">
        <v>18</v>
      </c>
      <c r="J93" s="8" t="s">
        <v>68</v>
      </c>
      <c r="K93" s="8" t="s">
        <v>867</v>
      </c>
      <c r="L93" s="8" t="s">
        <v>43</v>
      </c>
      <c r="M93" s="8" t="s">
        <v>116</v>
      </c>
      <c r="N93" s="8" t="s">
        <v>868</v>
      </c>
      <c r="O93" s="8" t="s">
        <v>869</v>
      </c>
    </row>
    <row r="94" customFormat="false" ht="53.7" hidden="false" customHeight="false" outlineLevel="0" collapsed="false">
      <c r="A94" s="8" t="s">
        <v>1336</v>
      </c>
      <c r="B94" s="8" t="s">
        <v>57</v>
      </c>
      <c r="C94" s="8" t="s">
        <v>1337</v>
      </c>
      <c r="D94" s="8" t="s">
        <v>1338</v>
      </c>
      <c r="E94" s="8" t="s">
        <v>1339</v>
      </c>
      <c r="F94" s="8" t="s">
        <v>1340</v>
      </c>
      <c r="G94" s="8" t="s">
        <v>890</v>
      </c>
      <c r="H94" s="8" t="s">
        <v>5</v>
      </c>
      <c r="I94" s="8" t="s">
        <v>891</v>
      </c>
      <c r="J94" s="8" t="s">
        <v>68</v>
      </c>
      <c r="K94" s="8" t="s">
        <v>892</v>
      </c>
      <c r="L94" s="8" t="s">
        <v>43</v>
      </c>
      <c r="M94" s="8" t="s">
        <v>116</v>
      </c>
      <c r="N94" s="8" t="s">
        <v>868</v>
      </c>
      <c r="O94" s="8" t="s">
        <v>869</v>
      </c>
    </row>
    <row r="95" customFormat="false" ht="22.35" hidden="false" customHeight="false" outlineLevel="0" collapsed="false">
      <c r="A95" s="8" t="s">
        <v>1341</v>
      </c>
      <c r="B95" s="8" t="s">
        <v>57</v>
      </c>
      <c r="C95" s="8" t="s">
        <v>1342</v>
      </c>
      <c r="D95" s="8" t="s">
        <v>1343</v>
      </c>
      <c r="E95" s="8" t="s">
        <v>1344</v>
      </c>
      <c r="F95" s="8" t="s">
        <v>1345</v>
      </c>
      <c r="G95" s="8" t="s">
        <v>890</v>
      </c>
      <c r="H95" s="8" t="s">
        <v>5</v>
      </c>
      <c r="I95" s="8" t="s">
        <v>891</v>
      </c>
      <c r="J95" s="8" t="s">
        <v>68</v>
      </c>
      <c r="K95" s="8" t="s">
        <v>892</v>
      </c>
      <c r="L95" s="8" t="s">
        <v>43</v>
      </c>
      <c r="M95" s="8" t="s">
        <v>116</v>
      </c>
      <c r="N95" s="8" t="s">
        <v>868</v>
      </c>
      <c r="O95" s="8" t="s">
        <v>869</v>
      </c>
    </row>
    <row r="96" customFormat="false" ht="32.8" hidden="false" customHeight="false" outlineLevel="0" collapsed="false">
      <c r="A96" s="8" t="s">
        <v>1346</v>
      </c>
      <c r="B96" s="8" t="s">
        <v>57</v>
      </c>
      <c r="C96" s="8" t="s">
        <v>1347</v>
      </c>
      <c r="D96" s="8" t="s">
        <v>1348</v>
      </c>
      <c r="E96" s="8" t="s">
        <v>1349</v>
      </c>
      <c r="F96" s="8" t="s">
        <v>1350</v>
      </c>
      <c r="G96" s="8" t="s">
        <v>866</v>
      </c>
      <c r="H96" s="8" t="s">
        <v>5</v>
      </c>
      <c r="I96" s="8" t="s">
        <v>18</v>
      </c>
      <c r="J96" s="8" t="s">
        <v>68</v>
      </c>
      <c r="K96" s="8" t="s">
        <v>867</v>
      </c>
      <c r="L96" s="8" t="s">
        <v>43</v>
      </c>
      <c r="M96" s="8" t="s">
        <v>116</v>
      </c>
      <c r="N96" s="8" t="s">
        <v>868</v>
      </c>
      <c r="O96" s="8" t="s">
        <v>869</v>
      </c>
    </row>
    <row r="97" customFormat="false" ht="43.25" hidden="false" customHeight="false" outlineLevel="0" collapsed="false">
      <c r="A97" s="8" t="s">
        <v>1351</v>
      </c>
      <c r="B97" s="8" t="s">
        <v>57</v>
      </c>
      <c r="C97" s="8" t="s">
        <v>746</v>
      </c>
      <c r="D97" s="8" t="s">
        <v>1352</v>
      </c>
      <c r="E97" s="8" t="s">
        <v>1353</v>
      </c>
      <c r="F97" s="8" t="s">
        <v>1354</v>
      </c>
      <c r="G97" s="8" t="s">
        <v>866</v>
      </c>
      <c r="H97" s="8" t="s">
        <v>5</v>
      </c>
      <c r="I97" s="8" t="s">
        <v>18</v>
      </c>
      <c r="J97" s="8" t="s">
        <v>68</v>
      </c>
      <c r="K97" s="8" t="s">
        <v>867</v>
      </c>
      <c r="L97" s="8" t="s">
        <v>43</v>
      </c>
      <c r="M97" s="8" t="s">
        <v>116</v>
      </c>
      <c r="N97" s="8" t="s">
        <v>868</v>
      </c>
      <c r="O97" s="8" t="s">
        <v>869</v>
      </c>
    </row>
    <row r="98" customFormat="false" ht="32.8" hidden="false" customHeight="false" outlineLevel="0" collapsed="false">
      <c r="A98" s="8" t="s">
        <v>1355</v>
      </c>
      <c r="B98" s="8" t="s">
        <v>57</v>
      </c>
      <c r="C98" s="8" t="s">
        <v>1356</v>
      </c>
      <c r="D98" s="8" t="s">
        <v>1357</v>
      </c>
      <c r="E98" s="8" t="s">
        <v>1358</v>
      </c>
      <c r="F98" s="8" t="s">
        <v>1359</v>
      </c>
      <c r="G98" s="8" t="s">
        <v>866</v>
      </c>
      <c r="H98" s="8" t="s">
        <v>5</v>
      </c>
      <c r="I98" s="8" t="s">
        <v>18</v>
      </c>
      <c r="J98" s="8" t="s">
        <v>68</v>
      </c>
      <c r="K98" s="8" t="s">
        <v>867</v>
      </c>
      <c r="L98" s="8" t="s">
        <v>43</v>
      </c>
      <c r="M98" s="8" t="s">
        <v>116</v>
      </c>
      <c r="N98" s="8" t="s">
        <v>868</v>
      </c>
      <c r="O98" s="8" t="s">
        <v>869</v>
      </c>
    </row>
    <row r="99" customFormat="false" ht="32.8" hidden="false" customHeight="false" outlineLevel="0" collapsed="false">
      <c r="A99" s="8" t="s">
        <v>1360</v>
      </c>
      <c r="B99" s="8" t="s">
        <v>57</v>
      </c>
      <c r="C99" s="8" t="s">
        <v>1361</v>
      </c>
      <c r="D99" s="8" t="s">
        <v>1308</v>
      </c>
      <c r="E99" s="8" t="s">
        <v>1362</v>
      </c>
      <c r="F99" s="8" t="s">
        <v>1363</v>
      </c>
      <c r="G99" s="8" t="s">
        <v>866</v>
      </c>
      <c r="H99" s="8" t="s">
        <v>5</v>
      </c>
      <c r="I99" s="8" t="s">
        <v>18</v>
      </c>
      <c r="J99" s="8" t="s">
        <v>68</v>
      </c>
      <c r="K99" s="8" t="s">
        <v>867</v>
      </c>
      <c r="L99" s="8" t="s">
        <v>43</v>
      </c>
      <c r="M99" s="8" t="s">
        <v>116</v>
      </c>
      <c r="N99" s="8" t="s">
        <v>868</v>
      </c>
      <c r="O99" s="8" t="s">
        <v>869</v>
      </c>
    </row>
    <row r="100" customFormat="false" ht="22.35" hidden="false" customHeight="false" outlineLevel="0" collapsed="false">
      <c r="A100" s="8" t="s">
        <v>1364</v>
      </c>
      <c r="B100" s="8" t="s">
        <v>57</v>
      </c>
      <c r="C100" s="8" t="s">
        <v>1365</v>
      </c>
      <c r="D100" s="8" t="s">
        <v>1308</v>
      </c>
      <c r="E100" s="8" t="s">
        <v>1366</v>
      </c>
      <c r="F100" s="8" t="s">
        <v>1367</v>
      </c>
      <c r="G100" s="8" t="s">
        <v>1086</v>
      </c>
      <c r="H100" s="8" t="s">
        <v>5</v>
      </c>
      <c r="I100" s="8" t="s">
        <v>16</v>
      </c>
      <c r="J100" s="8" t="s">
        <v>69</v>
      </c>
      <c r="K100" s="8" t="s">
        <v>1087</v>
      </c>
      <c r="L100" s="8" t="s">
        <v>43</v>
      </c>
      <c r="M100" s="8" t="s">
        <v>116</v>
      </c>
      <c r="N100" s="8" t="s">
        <v>868</v>
      </c>
      <c r="O100" s="8" t="s">
        <v>869</v>
      </c>
    </row>
    <row r="101" customFormat="false" ht="22.35" hidden="false" customHeight="false" outlineLevel="0" collapsed="false">
      <c r="A101" s="8" t="s">
        <v>1368</v>
      </c>
      <c r="B101" s="8" t="s">
        <v>57</v>
      </c>
      <c r="C101" s="8" t="s">
        <v>1369</v>
      </c>
      <c r="D101" s="8" t="s">
        <v>1370</v>
      </c>
      <c r="E101" s="8" t="s">
        <v>1371</v>
      </c>
      <c r="F101" s="8" t="s">
        <v>1372</v>
      </c>
      <c r="G101" s="8" t="s">
        <v>866</v>
      </c>
      <c r="H101" s="8" t="s">
        <v>5</v>
      </c>
      <c r="I101" s="8" t="s">
        <v>18</v>
      </c>
      <c r="J101" s="8" t="s">
        <v>69</v>
      </c>
      <c r="K101" s="8" t="s">
        <v>867</v>
      </c>
      <c r="L101" s="8" t="s">
        <v>43</v>
      </c>
      <c r="M101" s="8" t="s">
        <v>116</v>
      </c>
      <c r="N101" s="8" t="s">
        <v>868</v>
      </c>
      <c r="O101" s="8" t="s">
        <v>869</v>
      </c>
    </row>
    <row r="102" customFormat="false" ht="22.35" hidden="false" customHeight="false" outlineLevel="0" collapsed="false">
      <c r="A102" s="8" t="s">
        <v>1373</v>
      </c>
      <c r="B102" s="8" t="s">
        <v>57</v>
      </c>
      <c r="C102" s="8" t="s">
        <v>1374</v>
      </c>
      <c r="D102" s="8" t="s">
        <v>43</v>
      </c>
      <c r="E102" s="8" t="s">
        <v>1375</v>
      </c>
      <c r="F102" s="8" t="s">
        <v>1376</v>
      </c>
      <c r="G102" s="8" t="s">
        <v>1377</v>
      </c>
      <c r="H102" s="8" t="s">
        <v>5</v>
      </c>
      <c r="I102" s="8" t="s">
        <v>16</v>
      </c>
      <c r="J102" s="8" t="s">
        <v>68</v>
      </c>
      <c r="K102" s="8" t="s">
        <v>1378</v>
      </c>
      <c r="L102" s="8" t="s">
        <v>43</v>
      </c>
      <c r="M102" s="8" t="s">
        <v>116</v>
      </c>
      <c r="N102" s="8" t="s">
        <v>868</v>
      </c>
      <c r="O102" s="8" t="s">
        <v>869</v>
      </c>
    </row>
    <row r="103" customFormat="false" ht="22.35" hidden="false" customHeight="false" outlineLevel="0" collapsed="false">
      <c r="A103" s="8" t="s">
        <v>1379</v>
      </c>
      <c r="B103" s="8" t="s">
        <v>57</v>
      </c>
      <c r="C103" s="8" t="s">
        <v>1380</v>
      </c>
      <c r="D103" s="8" t="s">
        <v>1381</v>
      </c>
      <c r="E103" s="8" t="s">
        <v>1382</v>
      </c>
      <c r="F103" s="8" t="s">
        <v>1383</v>
      </c>
      <c r="G103" s="8" t="s">
        <v>1384</v>
      </c>
      <c r="H103" s="8" t="s">
        <v>8</v>
      </c>
      <c r="I103" s="8" t="s">
        <v>1385</v>
      </c>
      <c r="J103" s="8" t="s">
        <v>69</v>
      </c>
      <c r="K103" s="8" t="s">
        <v>1386</v>
      </c>
      <c r="L103" s="8" t="s">
        <v>43</v>
      </c>
      <c r="M103" s="8"/>
      <c r="N103" s="8"/>
      <c r="O103" s="8"/>
    </row>
    <row r="104" customFormat="false" ht="43.25" hidden="false" customHeight="false" outlineLevel="0" collapsed="false">
      <c r="A104" s="8" t="s">
        <v>1387</v>
      </c>
      <c r="B104" s="8" t="s">
        <v>58</v>
      </c>
      <c r="C104" s="8" t="s">
        <v>1388</v>
      </c>
      <c r="D104" s="8" t="s">
        <v>1389</v>
      </c>
      <c r="E104" s="8" t="s">
        <v>1390</v>
      </c>
      <c r="F104" s="8" t="s">
        <v>1391</v>
      </c>
      <c r="G104" s="8" t="s">
        <v>866</v>
      </c>
      <c r="H104" s="8" t="s">
        <v>5</v>
      </c>
      <c r="I104" s="8" t="s">
        <v>18</v>
      </c>
      <c r="J104" s="8" t="s">
        <v>68</v>
      </c>
      <c r="K104" s="8" t="s">
        <v>867</v>
      </c>
      <c r="L104" s="8" t="s">
        <v>43</v>
      </c>
      <c r="M104" s="8" t="s">
        <v>116</v>
      </c>
      <c r="N104" s="8" t="s">
        <v>868</v>
      </c>
      <c r="O104" s="8" t="s">
        <v>869</v>
      </c>
    </row>
    <row r="105" customFormat="false" ht="22.35" hidden="false" customHeight="false" outlineLevel="0" collapsed="false">
      <c r="A105" s="8" t="s">
        <v>1392</v>
      </c>
      <c r="B105" s="8" t="s">
        <v>58</v>
      </c>
      <c r="C105" s="8" t="s">
        <v>1393</v>
      </c>
      <c r="D105" s="8" t="s">
        <v>1394</v>
      </c>
      <c r="E105" s="8" t="s">
        <v>1395</v>
      </c>
      <c r="F105" s="8" t="s">
        <v>1396</v>
      </c>
      <c r="G105" s="8" t="s">
        <v>890</v>
      </c>
      <c r="H105" s="8" t="s">
        <v>5</v>
      </c>
      <c r="I105" s="8" t="s">
        <v>891</v>
      </c>
      <c r="J105" s="8" t="s">
        <v>68</v>
      </c>
      <c r="K105" s="8" t="s">
        <v>892</v>
      </c>
      <c r="L105" s="8" t="s">
        <v>43</v>
      </c>
      <c r="M105" s="8" t="s">
        <v>116</v>
      </c>
      <c r="N105" s="8" t="s">
        <v>868</v>
      </c>
      <c r="O105" s="8" t="s">
        <v>869</v>
      </c>
    </row>
    <row r="106" customFormat="false" ht="22.35" hidden="false" customHeight="false" outlineLevel="0" collapsed="false">
      <c r="A106" s="8" t="s">
        <v>1397</v>
      </c>
      <c r="B106" s="8" t="s">
        <v>58</v>
      </c>
      <c r="C106" s="8" t="s">
        <v>1398</v>
      </c>
      <c r="D106" s="8" t="s">
        <v>43</v>
      </c>
      <c r="E106" s="8" t="s">
        <v>1399</v>
      </c>
      <c r="F106" s="8" t="s">
        <v>1400</v>
      </c>
      <c r="G106" s="8" t="s">
        <v>866</v>
      </c>
      <c r="H106" s="8" t="s">
        <v>5</v>
      </c>
      <c r="I106" s="8" t="s">
        <v>18</v>
      </c>
      <c r="J106" s="8" t="s">
        <v>69</v>
      </c>
      <c r="K106" s="8" t="s">
        <v>867</v>
      </c>
      <c r="L106" s="8" t="s">
        <v>43</v>
      </c>
      <c r="M106" s="8" t="s">
        <v>116</v>
      </c>
      <c r="N106" s="8" t="s">
        <v>868</v>
      </c>
      <c r="O106" s="8" t="s">
        <v>869</v>
      </c>
    </row>
    <row r="107" customFormat="false" ht="22.35" hidden="false" customHeight="false" outlineLevel="0" collapsed="false">
      <c r="A107" s="8" t="s">
        <v>1401</v>
      </c>
      <c r="B107" s="8" t="s">
        <v>58</v>
      </c>
      <c r="C107" s="8" t="s">
        <v>1402</v>
      </c>
      <c r="D107" s="8" t="s">
        <v>1403</v>
      </c>
      <c r="E107" s="8" t="s">
        <v>1404</v>
      </c>
      <c r="F107" s="8" t="s">
        <v>1405</v>
      </c>
      <c r="G107" s="8" t="s">
        <v>866</v>
      </c>
      <c r="H107" s="8" t="s">
        <v>5</v>
      </c>
      <c r="I107" s="8" t="s">
        <v>18</v>
      </c>
      <c r="J107" s="8" t="s">
        <v>68</v>
      </c>
      <c r="K107" s="8" t="s">
        <v>867</v>
      </c>
      <c r="L107" s="8" t="s">
        <v>43</v>
      </c>
      <c r="M107" s="8" t="s">
        <v>116</v>
      </c>
      <c r="N107" s="8" t="s">
        <v>868</v>
      </c>
      <c r="O107" s="8" t="s">
        <v>869</v>
      </c>
    </row>
    <row r="108" customFormat="false" ht="22.35" hidden="false" customHeight="false" outlineLevel="0" collapsed="false">
      <c r="A108" s="8" t="s">
        <v>1406</v>
      </c>
      <c r="B108" s="8" t="s">
        <v>58</v>
      </c>
      <c r="C108" s="8" t="s">
        <v>1407</v>
      </c>
      <c r="D108" s="8" t="s">
        <v>1403</v>
      </c>
      <c r="E108" s="8" t="s">
        <v>1408</v>
      </c>
      <c r="F108" s="8" t="s">
        <v>1409</v>
      </c>
      <c r="G108" s="8" t="s">
        <v>866</v>
      </c>
      <c r="H108" s="8" t="s">
        <v>5</v>
      </c>
      <c r="I108" s="8" t="s">
        <v>18</v>
      </c>
      <c r="J108" s="8" t="s">
        <v>69</v>
      </c>
      <c r="K108" s="8" t="s">
        <v>867</v>
      </c>
      <c r="L108" s="8" t="s">
        <v>43</v>
      </c>
      <c r="M108" s="8" t="s">
        <v>116</v>
      </c>
      <c r="N108" s="8" t="s">
        <v>868</v>
      </c>
      <c r="O108" s="8" t="s">
        <v>869</v>
      </c>
    </row>
    <row r="109" customFormat="false" ht="32.8" hidden="false" customHeight="false" outlineLevel="0" collapsed="false">
      <c r="A109" s="8" t="s">
        <v>1410</v>
      </c>
      <c r="B109" s="8" t="s">
        <v>59</v>
      </c>
      <c r="C109" s="8" t="s">
        <v>1411</v>
      </c>
      <c r="D109" s="8" t="s">
        <v>1412</v>
      </c>
      <c r="E109" s="8" t="s">
        <v>1413</v>
      </c>
      <c r="F109" s="8" t="s">
        <v>1414</v>
      </c>
      <c r="G109" s="8" t="s">
        <v>866</v>
      </c>
      <c r="H109" s="8" t="s">
        <v>5</v>
      </c>
      <c r="I109" s="8" t="s">
        <v>18</v>
      </c>
      <c r="J109" s="8" t="s">
        <v>68</v>
      </c>
      <c r="K109" s="8" t="s">
        <v>867</v>
      </c>
      <c r="L109" s="8" t="s">
        <v>43</v>
      </c>
      <c r="M109" s="8" t="s">
        <v>116</v>
      </c>
      <c r="N109" s="8" t="s">
        <v>868</v>
      </c>
      <c r="O109" s="8" t="s">
        <v>869</v>
      </c>
    </row>
    <row r="110" customFormat="false" ht="22.35" hidden="false" customHeight="false" outlineLevel="0" collapsed="false">
      <c r="A110" s="8" t="s">
        <v>1415</v>
      </c>
      <c r="B110" s="8" t="s">
        <v>59</v>
      </c>
      <c r="C110" s="8" t="s">
        <v>1416</v>
      </c>
      <c r="D110" s="8" t="s">
        <v>1417</v>
      </c>
      <c r="E110" s="8" t="s">
        <v>1418</v>
      </c>
      <c r="F110" s="8" t="s">
        <v>1419</v>
      </c>
      <c r="G110" s="8" t="s">
        <v>866</v>
      </c>
      <c r="H110" s="8" t="s">
        <v>5</v>
      </c>
      <c r="I110" s="8" t="s">
        <v>18</v>
      </c>
      <c r="J110" s="8" t="s">
        <v>68</v>
      </c>
      <c r="K110" s="8" t="s">
        <v>867</v>
      </c>
      <c r="L110" s="8" t="s">
        <v>43</v>
      </c>
      <c r="M110" s="8" t="s">
        <v>116</v>
      </c>
      <c r="N110" s="8" t="s">
        <v>868</v>
      </c>
      <c r="O110" s="8" t="s">
        <v>869</v>
      </c>
    </row>
    <row r="111" customFormat="false" ht="85.05" hidden="false" customHeight="false" outlineLevel="0" collapsed="false">
      <c r="A111" s="8" t="s">
        <v>1420</v>
      </c>
      <c r="B111" s="8" t="s">
        <v>59</v>
      </c>
      <c r="C111" s="8" t="s">
        <v>1421</v>
      </c>
      <c r="D111" s="8" t="s">
        <v>1422</v>
      </c>
      <c r="E111" s="8" t="s">
        <v>1423</v>
      </c>
      <c r="F111" s="8" t="s">
        <v>1424</v>
      </c>
      <c r="G111" s="8" t="s">
        <v>1425</v>
      </c>
      <c r="H111" s="8" t="s">
        <v>5</v>
      </c>
      <c r="I111" s="8" t="s">
        <v>18</v>
      </c>
      <c r="J111" s="8" t="s">
        <v>68</v>
      </c>
      <c r="K111" s="8" t="s">
        <v>867</v>
      </c>
      <c r="L111" s="8" t="s">
        <v>1426</v>
      </c>
      <c r="M111" s="8" t="s">
        <v>116</v>
      </c>
      <c r="N111" s="8" t="s">
        <v>868</v>
      </c>
      <c r="O111" s="8" t="s">
        <v>869</v>
      </c>
    </row>
    <row r="112" customFormat="false" ht="32.8" hidden="false" customHeight="false" outlineLevel="0" collapsed="false">
      <c r="A112" s="8" t="s">
        <v>1427</v>
      </c>
      <c r="B112" s="8" t="s">
        <v>59</v>
      </c>
      <c r="C112" s="8" t="s">
        <v>1428</v>
      </c>
      <c r="D112" s="8" t="s">
        <v>1429</v>
      </c>
      <c r="E112" s="8" t="s">
        <v>1430</v>
      </c>
      <c r="F112" s="8" t="s">
        <v>1431</v>
      </c>
      <c r="G112" s="8" t="s">
        <v>1432</v>
      </c>
      <c r="H112" s="8" t="s">
        <v>5</v>
      </c>
      <c r="I112" s="8" t="s">
        <v>1433</v>
      </c>
      <c r="J112" s="8" t="s">
        <v>68</v>
      </c>
      <c r="K112" s="8" t="s">
        <v>1434</v>
      </c>
      <c r="L112" s="8" t="s">
        <v>43</v>
      </c>
      <c r="M112" s="8" t="s">
        <v>116</v>
      </c>
      <c r="N112" s="8" t="s">
        <v>868</v>
      </c>
      <c r="O112" s="8" t="s">
        <v>869</v>
      </c>
    </row>
    <row r="113" customFormat="false" ht="22.35" hidden="false" customHeight="false" outlineLevel="0" collapsed="false">
      <c r="A113" s="8" t="s">
        <v>1435</v>
      </c>
      <c r="B113" s="8" t="s">
        <v>59</v>
      </c>
      <c r="C113" s="8" t="s">
        <v>1436</v>
      </c>
      <c r="D113" s="8" t="s">
        <v>1437</v>
      </c>
      <c r="E113" s="8" t="s">
        <v>1438</v>
      </c>
      <c r="F113" s="8" t="s">
        <v>1439</v>
      </c>
      <c r="G113" s="8" t="s">
        <v>890</v>
      </c>
      <c r="H113" s="8" t="s">
        <v>5</v>
      </c>
      <c r="I113" s="8" t="s">
        <v>891</v>
      </c>
      <c r="J113" s="8" t="s">
        <v>68</v>
      </c>
      <c r="K113" s="8" t="s">
        <v>892</v>
      </c>
      <c r="L113" s="8" t="s">
        <v>43</v>
      </c>
      <c r="M113" s="8" t="s">
        <v>116</v>
      </c>
      <c r="N113" s="8" t="s">
        <v>868</v>
      </c>
      <c r="O113" s="8" t="s">
        <v>869</v>
      </c>
    </row>
    <row r="114" customFormat="false" ht="53.7" hidden="false" customHeight="false" outlineLevel="0" collapsed="false">
      <c r="A114" s="8" t="s">
        <v>1440</v>
      </c>
      <c r="B114" s="8" t="s">
        <v>59</v>
      </c>
      <c r="C114" s="8" t="s">
        <v>1441</v>
      </c>
      <c r="D114" s="8" t="s">
        <v>1442</v>
      </c>
      <c r="E114" s="8" t="s">
        <v>1443</v>
      </c>
      <c r="F114" s="8" t="s">
        <v>1444</v>
      </c>
      <c r="G114" s="8" t="s">
        <v>1384</v>
      </c>
      <c r="H114" s="8" t="s">
        <v>8</v>
      </c>
      <c r="I114" s="8" t="s">
        <v>1385</v>
      </c>
      <c r="J114" s="8" t="s">
        <v>68</v>
      </c>
      <c r="K114" s="8" t="s">
        <v>1445</v>
      </c>
      <c r="L114" s="8" t="s">
        <v>43</v>
      </c>
      <c r="M114" s="8"/>
      <c r="N114" s="8"/>
      <c r="O114" s="8"/>
    </row>
    <row r="115" customFormat="false" ht="22.35" hidden="false" customHeight="false" outlineLevel="0" collapsed="false">
      <c r="A115" s="8" t="s">
        <v>1446</v>
      </c>
      <c r="B115" s="8" t="s">
        <v>59</v>
      </c>
      <c r="C115" s="8" t="s">
        <v>1447</v>
      </c>
      <c r="D115" s="8" t="s">
        <v>1448</v>
      </c>
      <c r="E115" s="8" t="s">
        <v>1449</v>
      </c>
      <c r="F115" s="8" t="s">
        <v>1450</v>
      </c>
      <c r="G115" s="8" t="s">
        <v>1384</v>
      </c>
      <c r="H115" s="8" t="s">
        <v>8</v>
      </c>
      <c r="I115" s="8" t="s">
        <v>1385</v>
      </c>
      <c r="J115" s="8" t="s">
        <v>69</v>
      </c>
      <c r="K115" s="8" t="s">
        <v>1445</v>
      </c>
      <c r="L115" s="8" t="s">
        <v>43</v>
      </c>
      <c r="M115" s="8"/>
      <c r="N115" s="8"/>
      <c r="O115" s="8"/>
    </row>
    <row r="116" customFormat="false" ht="43.25" hidden="false" customHeight="false" outlineLevel="0" collapsed="false">
      <c r="A116" s="8" t="s">
        <v>1451</v>
      </c>
      <c r="B116" s="8" t="s">
        <v>60</v>
      </c>
      <c r="C116" s="8" t="s">
        <v>1452</v>
      </c>
      <c r="D116" s="8" t="s">
        <v>1453</v>
      </c>
      <c r="E116" s="8" t="s">
        <v>1454</v>
      </c>
      <c r="F116" s="8" t="s">
        <v>1455</v>
      </c>
      <c r="G116" s="8" t="s">
        <v>1456</v>
      </c>
      <c r="H116" s="8" t="s">
        <v>8</v>
      </c>
      <c r="I116" s="8" t="s">
        <v>1457</v>
      </c>
      <c r="J116" s="8" t="s">
        <v>68</v>
      </c>
      <c r="K116" s="8" t="s">
        <v>1458</v>
      </c>
      <c r="L116" s="8" t="s">
        <v>43</v>
      </c>
      <c r="M116" s="8"/>
      <c r="N116" s="8"/>
      <c r="O116" s="8"/>
    </row>
    <row r="117" customFormat="false" ht="43.25" hidden="false" customHeight="false" outlineLevel="0" collapsed="false">
      <c r="A117" s="8" t="s">
        <v>1459</v>
      </c>
      <c r="B117" s="8" t="s">
        <v>60</v>
      </c>
      <c r="C117" s="8" t="s">
        <v>1460</v>
      </c>
      <c r="D117" s="8" t="s">
        <v>1461</v>
      </c>
      <c r="E117" s="8" t="s">
        <v>1462</v>
      </c>
      <c r="F117" s="8" t="s">
        <v>1463</v>
      </c>
      <c r="G117" s="8" t="s">
        <v>866</v>
      </c>
      <c r="H117" s="8" t="s">
        <v>5</v>
      </c>
      <c r="I117" s="8" t="s">
        <v>18</v>
      </c>
      <c r="J117" s="8" t="s">
        <v>68</v>
      </c>
      <c r="K117" s="8" t="s">
        <v>867</v>
      </c>
      <c r="L117" s="8" t="s">
        <v>43</v>
      </c>
      <c r="M117" s="8" t="s">
        <v>116</v>
      </c>
      <c r="N117" s="8" t="s">
        <v>868</v>
      </c>
      <c r="O117" s="8" t="s">
        <v>869</v>
      </c>
    </row>
    <row r="118" customFormat="false" ht="22.35" hidden="false" customHeight="false" outlineLevel="0" collapsed="false">
      <c r="A118" s="8" t="s">
        <v>1464</v>
      </c>
      <c r="B118" s="8" t="s">
        <v>60</v>
      </c>
      <c r="C118" s="8" t="s">
        <v>831</v>
      </c>
      <c r="D118" s="8" t="s">
        <v>1465</v>
      </c>
      <c r="E118" s="8" t="s">
        <v>1466</v>
      </c>
      <c r="F118" s="8" t="s">
        <v>1467</v>
      </c>
      <c r="G118" s="8" t="s">
        <v>1468</v>
      </c>
      <c r="H118" s="8" t="s">
        <v>7</v>
      </c>
      <c r="I118" s="8" t="s">
        <v>1030</v>
      </c>
      <c r="J118" s="8" t="s">
        <v>69</v>
      </c>
      <c r="K118" s="8" t="s">
        <v>1055</v>
      </c>
      <c r="L118" s="8" t="s">
        <v>1469</v>
      </c>
      <c r="M118" s="8"/>
      <c r="N118" s="8"/>
      <c r="O118" s="8"/>
    </row>
    <row r="119" customFormat="false" ht="43.25" hidden="false" customHeight="false" outlineLevel="0" collapsed="false">
      <c r="A119" s="8" t="s">
        <v>1470</v>
      </c>
      <c r="B119" s="8" t="s">
        <v>60</v>
      </c>
      <c r="C119" s="8" t="s">
        <v>1471</v>
      </c>
      <c r="D119" s="8" t="s">
        <v>1472</v>
      </c>
      <c r="E119" s="8" t="s">
        <v>1473</v>
      </c>
      <c r="F119" s="8" t="s">
        <v>1474</v>
      </c>
      <c r="G119" s="8" t="s">
        <v>1475</v>
      </c>
      <c r="H119" s="8" t="s">
        <v>5</v>
      </c>
      <c r="I119" s="8" t="s">
        <v>16</v>
      </c>
      <c r="J119" s="8" t="s">
        <v>68</v>
      </c>
      <c r="K119" s="8" t="s">
        <v>1476</v>
      </c>
      <c r="L119" s="8" t="s">
        <v>43</v>
      </c>
      <c r="M119" s="8" t="s">
        <v>116</v>
      </c>
      <c r="N119" s="8" t="s">
        <v>868</v>
      </c>
      <c r="O119" s="8" t="s">
        <v>869</v>
      </c>
    </row>
    <row r="120" customFormat="false" ht="32.8" hidden="false" customHeight="false" outlineLevel="0" collapsed="false">
      <c r="A120" s="8" t="s">
        <v>1477</v>
      </c>
      <c r="B120" s="8" t="s">
        <v>60</v>
      </c>
      <c r="C120" s="8" t="s">
        <v>1478</v>
      </c>
      <c r="D120" s="8" t="s">
        <v>1479</v>
      </c>
      <c r="E120" s="8" t="s">
        <v>1480</v>
      </c>
      <c r="F120" s="8" t="s">
        <v>1481</v>
      </c>
      <c r="G120" s="8" t="s">
        <v>1482</v>
      </c>
      <c r="H120" s="8" t="s">
        <v>8</v>
      </c>
      <c r="I120" s="8" t="s">
        <v>1483</v>
      </c>
      <c r="J120" s="8" t="s">
        <v>69</v>
      </c>
      <c r="K120" s="8" t="s">
        <v>1484</v>
      </c>
      <c r="L120" s="8" t="s">
        <v>43</v>
      </c>
      <c r="M120" s="8"/>
      <c r="N120" s="8"/>
      <c r="O120" s="8"/>
    </row>
    <row r="121" customFormat="false" ht="22.35" hidden="false" customHeight="false" outlineLevel="0" collapsed="false">
      <c r="A121" s="8" t="s">
        <v>1485</v>
      </c>
      <c r="B121" s="8" t="s">
        <v>61</v>
      </c>
      <c r="C121" s="8" t="s">
        <v>1486</v>
      </c>
      <c r="D121" s="8" t="s">
        <v>1487</v>
      </c>
      <c r="E121" s="8" t="s">
        <v>1488</v>
      </c>
      <c r="F121" s="8" t="s">
        <v>1489</v>
      </c>
      <c r="G121" s="8" t="s">
        <v>866</v>
      </c>
      <c r="H121" s="8" t="s">
        <v>5</v>
      </c>
      <c r="I121" s="8" t="s">
        <v>18</v>
      </c>
      <c r="J121" s="8" t="s">
        <v>68</v>
      </c>
      <c r="K121" s="8" t="s">
        <v>867</v>
      </c>
      <c r="L121" s="8" t="s">
        <v>43</v>
      </c>
      <c r="M121" s="8" t="s">
        <v>116</v>
      </c>
      <c r="N121" s="8" t="s">
        <v>868</v>
      </c>
      <c r="O121" s="8" t="s">
        <v>869</v>
      </c>
    </row>
    <row r="122" customFormat="false" ht="22.35" hidden="false" customHeight="false" outlineLevel="0" collapsed="false">
      <c r="A122" s="8" t="s">
        <v>1490</v>
      </c>
      <c r="B122" s="8" t="s">
        <v>61</v>
      </c>
      <c r="C122" s="8" t="s">
        <v>1491</v>
      </c>
      <c r="D122" s="8" t="s">
        <v>43</v>
      </c>
      <c r="E122" s="8" t="s">
        <v>1492</v>
      </c>
      <c r="F122" s="8" t="s">
        <v>1493</v>
      </c>
      <c r="G122" s="8" t="s">
        <v>890</v>
      </c>
      <c r="H122" s="8" t="s">
        <v>5</v>
      </c>
      <c r="I122" s="8" t="s">
        <v>891</v>
      </c>
      <c r="J122" s="8" t="s">
        <v>68</v>
      </c>
      <c r="K122" s="8" t="s">
        <v>892</v>
      </c>
      <c r="L122" s="8" t="s">
        <v>43</v>
      </c>
      <c r="M122" s="8" t="s">
        <v>116</v>
      </c>
      <c r="N122" s="8" t="s">
        <v>868</v>
      </c>
      <c r="O122" s="8" t="s">
        <v>869</v>
      </c>
    </row>
    <row r="123" customFormat="false" ht="22.35" hidden="false" customHeight="false" outlineLevel="0" collapsed="false">
      <c r="A123" s="8" t="s">
        <v>1494</v>
      </c>
      <c r="B123" s="8" t="s">
        <v>61</v>
      </c>
      <c r="C123" s="8" t="s">
        <v>1495</v>
      </c>
      <c r="D123" s="8" t="s">
        <v>43</v>
      </c>
      <c r="E123" s="8" t="s">
        <v>1496</v>
      </c>
      <c r="F123" s="8" t="s">
        <v>1497</v>
      </c>
      <c r="G123" s="8" t="s">
        <v>890</v>
      </c>
      <c r="H123" s="8" t="s">
        <v>5</v>
      </c>
      <c r="I123" s="8" t="s">
        <v>891</v>
      </c>
      <c r="J123" s="8" t="s">
        <v>68</v>
      </c>
      <c r="K123" s="8" t="s">
        <v>892</v>
      </c>
      <c r="L123" s="8" t="s">
        <v>43</v>
      </c>
      <c r="M123" s="8" t="s">
        <v>116</v>
      </c>
      <c r="N123" s="8" t="s">
        <v>868</v>
      </c>
      <c r="O123" s="8" t="s">
        <v>869</v>
      </c>
    </row>
    <row r="124" customFormat="false" ht="22.35" hidden="false" customHeight="false" outlineLevel="0" collapsed="false">
      <c r="A124" s="8" t="s">
        <v>1498</v>
      </c>
      <c r="B124" s="8" t="s">
        <v>61</v>
      </c>
      <c r="C124" s="8" t="s">
        <v>1499</v>
      </c>
      <c r="D124" s="8" t="s">
        <v>43</v>
      </c>
      <c r="E124" s="8" t="s">
        <v>1500</v>
      </c>
      <c r="F124" s="8" t="s">
        <v>1501</v>
      </c>
      <c r="G124" s="8" t="s">
        <v>890</v>
      </c>
      <c r="H124" s="8" t="s">
        <v>5</v>
      </c>
      <c r="I124" s="8" t="s">
        <v>891</v>
      </c>
      <c r="J124" s="8" t="s">
        <v>68</v>
      </c>
      <c r="K124" s="8" t="s">
        <v>892</v>
      </c>
      <c r="L124" s="8" t="s">
        <v>43</v>
      </c>
      <c r="M124" s="8" t="s">
        <v>116</v>
      </c>
      <c r="N124" s="8" t="s">
        <v>868</v>
      </c>
      <c r="O124" s="8" t="s">
        <v>869</v>
      </c>
    </row>
    <row r="125" customFormat="false" ht="22.35" hidden="false" customHeight="false" outlineLevel="0" collapsed="false">
      <c r="A125" s="8" t="s">
        <v>1502</v>
      </c>
      <c r="B125" s="8" t="s">
        <v>61</v>
      </c>
      <c r="C125" s="8" t="s">
        <v>1503</v>
      </c>
      <c r="D125" s="8" t="s">
        <v>1504</v>
      </c>
      <c r="E125" s="8" t="s">
        <v>1505</v>
      </c>
      <c r="F125" s="8" t="s">
        <v>1506</v>
      </c>
      <c r="G125" s="8" t="s">
        <v>890</v>
      </c>
      <c r="H125" s="8" t="s">
        <v>5</v>
      </c>
      <c r="I125" s="8" t="s">
        <v>891</v>
      </c>
      <c r="J125" s="8" t="s">
        <v>68</v>
      </c>
      <c r="K125" s="8" t="s">
        <v>892</v>
      </c>
      <c r="L125" s="8" t="s">
        <v>43</v>
      </c>
      <c r="M125" s="8" t="s">
        <v>116</v>
      </c>
      <c r="N125" s="8" t="s">
        <v>868</v>
      </c>
      <c r="O125" s="8" t="s">
        <v>869</v>
      </c>
    </row>
    <row r="126" customFormat="false" ht="22.35" hidden="false" customHeight="false" outlineLevel="0" collapsed="false">
      <c r="A126" s="8" t="s">
        <v>1507</v>
      </c>
      <c r="B126" s="8" t="s">
        <v>61</v>
      </c>
      <c r="C126" s="8" t="s">
        <v>1508</v>
      </c>
      <c r="D126" s="8" t="s">
        <v>1509</v>
      </c>
      <c r="E126" s="8" t="s">
        <v>1510</v>
      </c>
      <c r="F126" s="8" t="s">
        <v>1511</v>
      </c>
      <c r="G126" s="8" t="s">
        <v>890</v>
      </c>
      <c r="H126" s="8" t="s">
        <v>5</v>
      </c>
      <c r="I126" s="8" t="s">
        <v>891</v>
      </c>
      <c r="J126" s="8" t="s">
        <v>68</v>
      </c>
      <c r="K126" s="8" t="s">
        <v>892</v>
      </c>
      <c r="L126" s="8" t="s">
        <v>43</v>
      </c>
      <c r="M126" s="8" t="s">
        <v>116</v>
      </c>
      <c r="N126" s="8" t="s">
        <v>868</v>
      </c>
      <c r="O126" s="8" t="s">
        <v>869</v>
      </c>
    </row>
    <row r="127" customFormat="false" ht="32.8" hidden="false" customHeight="false" outlineLevel="0" collapsed="false">
      <c r="A127" s="8" t="s">
        <v>1512</v>
      </c>
      <c r="B127" s="8" t="s">
        <v>61</v>
      </c>
      <c r="C127" s="8" t="s">
        <v>1513</v>
      </c>
      <c r="D127" s="8" t="s">
        <v>1514</v>
      </c>
      <c r="E127" s="8" t="s">
        <v>1515</v>
      </c>
      <c r="F127" s="8" t="s">
        <v>1516</v>
      </c>
      <c r="G127" s="8" t="s">
        <v>1384</v>
      </c>
      <c r="H127" s="8" t="s">
        <v>8</v>
      </c>
      <c r="I127" s="8" t="s">
        <v>1517</v>
      </c>
      <c r="J127" s="8" t="s">
        <v>68</v>
      </c>
      <c r="K127" s="8" t="s">
        <v>1518</v>
      </c>
      <c r="L127" s="8" t="s">
        <v>43</v>
      </c>
      <c r="M127" s="8"/>
      <c r="N127" s="8"/>
      <c r="O127" s="8"/>
    </row>
    <row r="128" customFormat="false" ht="22.35" hidden="false" customHeight="false" outlineLevel="0" collapsed="false">
      <c r="A128" s="8" t="s">
        <v>1519</v>
      </c>
      <c r="B128" s="8" t="s">
        <v>61</v>
      </c>
      <c r="C128" s="8" t="s">
        <v>1520</v>
      </c>
      <c r="D128" s="8" t="s">
        <v>1521</v>
      </c>
      <c r="E128" s="8" t="s">
        <v>1522</v>
      </c>
      <c r="F128" s="8" t="s">
        <v>1523</v>
      </c>
      <c r="G128" s="8" t="s">
        <v>1384</v>
      </c>
      <c r="H128" s="8" t="s">
        <v>8</v>
      </c>
      <c r="I128" s="8" t="s">
        <v>1517</v>
      </c>
      <c r="J128" s="8" t="s">
        <v>68</v>
      </c>
      <c r="K128" s="8" t="s">
        <v>1518</v>
      </c>
      <c r="L128" s="8" t="s">
        <v>43</v>
      </c>
      <c r="M128" s="8"/>
      <c r="N128" s="8"/>
      <c r="O128" s="8"/>
    </row>
    <row r="129" customFormat="false" ht="53.7" hidden="false" customHeight="false" outlineLevel="0" collapsed="false">
      <c r="A129" s="8" t="s">
        <v>1524</v>
      </c>
      <c r="B129" s="8" t="s">
        <v>61</v>
      </c>
      <c r="C129" s="8" t="s">
        <v>1525</v>
      </c>
      <c r="D129" s="8" t="s">
        <v>1526</v>
      </c>
      <c r="E129" s="8" t="s">
        <v>1527</v>
      </c>
      <c r="F129" s="8" t="s">
        <v>1528</v>
      </c>
      <c r="G129" s="8" t="s">
        <v>890</v>
      </c>
      <c r="H129" s="8" t="s">
        <v>5</v>
      </c>
      <c r="I129" s="8" t="s">
        <v>891</v>
      </c>
      <c r="J129" s="8" t="s">
        <v>68</v>
      </c>
      <c r="K129" s="8" t="s">
        <v>892</v>
      </c>
      <c r="L129" s="8" t="s">
        <v>43</v>
      </c>
      <c r="M129" s="8" t="s">
        <v>116</v>
      </c>
      <c r="N129" s="8" t="s">
        <v>868</v>
      </c>
      <c r="O129" s="8" t="s">
        <v>869</v>
      </c>
    </row>
    <row r="130" customFormat="false" ht="22.35" hidden="false" customHeight="false" outlineLevel="0" collapsed="false">
      <c r="A130" s="8" t="s">
        <v>1529</v>
      </c>
      <c r="B130" s="8" t="s">
        <v>61</v>
      </c>
      <c r="C130" s="8" t="s">
        <v>1530</v>
      </c>
      <c r="D130" s="8" t="s">
        <v>1531</v>
      </c>
      <c r="E130" s="8" t="s">
        <v>1532</v>
      </c>
      <c r="F130" s="8" t="s">
        <v>1533</v>
      </c>
      <c r="G130" s="8" t="s">
        <v>890</v>
      </c>
      <c r="H130" s="8" t="s">
        <v>5</v>
      </c>
      <c r="I130" s="8" t="s">
        <v>891</v>
      </c>
      <c r="J130" s="8" t="s">
        <v>68</v>
      </c>
      <c r="K130" s="8" t="s">
        <v>892</v>
      </c>
      <c r="L130" s="8" t="s">
        <v>43</v>
      </c>
      <c r="M130" s="8" t="s">
        <v>116</v>
      </c>
      <c r="N130" s="8" t="s">
        <v>868</v>
      </c>
      <c r="O130" s="8" t="s">
        <v>869</v>
      </c>
    </row>
    <row r="131" customFormat="false" ht="22.35" hidden="false" customHeight="false" outlineLevel="0" collapsed="false">
      <c r="A131" s="8" t="s">
        <v>1534</v>
      </c>
      <c r="B131" s="8" t="s">
        <v>61</v>
      </c>
      <c r="C131" s="8" t="s">
        <v>1535</v>
      </c>
      <c r="D131" s="8" t="s">
        <v>43</v>
      </c>
      <c r="E131" s="8" t="s">
        <v>1536</v>
      </c>
      <c r="F131" s="8" t="s">
        <v>1537</v>
      </c>
      <c r="G131" s="8" t="s">
        <v>866</v>
      </c>
      <c r="H131" s="8" t="s">
        <v>5</v>
      </c>
      <c r="I131" s="8" t="s">
        <v>18</v>
      </c>
      <c r="J131" s="8" t="s">
        <v>70</v>
      </c>
      <c r="K131" s="8" t="s">
        <v>867</v>
      </c>
      <c r="L131" s="8" t="s">
        <v>43</v>
      </c>
      <c r="M131" s="8" t="s">
        <v>116</v>
      </c>
      <c r="N131" s="8" t="s">
        <v>868</v>
      </c>
      <c r="O131" s="8" t="s">
        <v>869</v>
      </c>
    </row>
    <row r="132" customFormat="false" ht="32.8" hidden="false" customHeight="false" outlineLevel="0" collapsed="false">
      <c r="A132" s="8" t="s">
        <v>1538</v>
      </c>
      <c r="B132" s="8" t="s">
        <v>61</v>
      </c>
      <c r="C132" s="8" t="s">
        <v>1539</v>
      </c>
      <c r="D132" s="8" t="s">
        <v>43</v>
      </c>
      <c r="E132" s="8" t="s">
        <v>1540</v>
      </c>
      <c r="F132" s="8" t="s">
        <v>1541</v>
      </c>
      <c r="G132" s="8" t="s">
        <v>866</v>
      </c>
      <c r="H132" s="8" t="s">
        <v>5</v>
      </c>
      <c r="I132" s="8" t="s">
        <v>18</v>
      </c>
      <c r="J132" s="8" t="s">
        <v>69</v>
      </c>
      <c r="K132" s="8" t="s">
        <v>867</v>
      </c>
      <c r="L132" s="8" t="s">
        <v>43</v>
      </c>
      <c r="M132" s="8" t="s">
        <v>116</v>
      </c>
      <c r="N132" s="8" t="s">
        <v>868</v>
      </c>
      <c r="O132" s="8" t="s">
        <v>869</v>
      </c>
    </row>
    <row r="133" customFormat="false" ht="22.35" hidden="false" customHeight="false" outlineLevel="0" collapsed="false">
      <c r="A133" s="8" t="s">
        <v>1542</v>
      </c>
      <c r="B133" s="8" t="s">
        <v>61</v>
      </c>
      <c r="C133" s="8" t="s">
        <v>1543</v>
      </c>
      <c r="D133" s="8" t="s">
        <v>43</v>
      </c>
      <c r="E133" s="8" t="s">
        <v>1544</v>
      </c>
      <c r="F133" s="8" t="s">
        <v>1545</v>
      </c>
      <c r="G133" s="8" t="s">
        <v>1546</v>
      </c>
      <c r="H133" s="8" t="s">
        <v>5</v>
      </c>
      <c r="I133" s="8" t="s">
        <v>18</v>
      </c>
      <c r="J133" s="8" t="s">
        <v>70</v>
      </c>
      <c r="K133" s="8" t="s">
        <v>867</v>
      </c>
      <c r="L133" s="8" t="s">
        <v>1547</v>
      </c>
      <c r="M133" s="8" t="s">
        <v>116</v>
      </c>
      <c r="N133" s="8" t="s">
        <v>868</v>
      </c>
      <c r="O133" s="8" t="s">
        <v>869</v>
      </c>
    </row>
    <row r="134" customFormat="false" ht="22.35" hidden="false" customHeight="false" outlineLevel="0" collapsed="false">
      <c r="A134" s="8" t="s">
        <v>1548</v>
      </c>
      <c r="B134" s="8" t="s">
        <v>61</v>
      </c>
      <c r="C134" s="8" t="s">
        <v>1549</v>
      </c>
      <c r="D134" s="8" t="s">
        <v>1550</v>
      </c>
      <c r="E134" s="8" t="s">
        <v>1551</v>
      </c>
      <c r="F134" s="8" t="s">
        <v>1552</v>
      </c>
      <c r="G134" s="8" t="s">
        <v>866</v>
      </c>
      <c r="H134" s="8" t="s">
        <v>5</v>
      </c>
      <c r="I134" s="8" t="s">
        <v>18</v>
      </c>
      <c r="J134" s="8" t="s">
        <v>68</v>
      </c>
      <c r="K134" s="8" t="s">
        <v>867</v>
      </c>
      <c r="L134" s="8" t="s">
        <v>43</v>
      </c>
      <c r="M134" s="8" t="s">
        <v>116</v>
      </c>
      <c r="N134" s="8" t="s">
        <v>868</v>
      </c>
      <c r="O134" s="8" t="s">
        <v>869</v>
      </c>
    </row>
    <row r="135" customFormat="false" ht="32.8" hidden="false" customHeight="false" outlineLevel="0" collapsed="false">
      <c r="A135" s="8" t="s">
        <v>1553</v>
      </c>
      <c r="B135" s="8" t="s">
        <v>61</v>
      </c>
      <c r="C135" s="8" t="s">
        <v>1554</v>
      </c>
      <c r="D135" s="8" t="s">
        <v>1514</v>
      </c>
      <c r="E135" s="8" t="s">
        <v>1555</v>
      </c>
      <c r="F135" s="8" t="s">
        <v>1556</v>
      </c>
      <c r="G135" s="8" t="s">
        <v>1384</v>
      </c>
      <c r="H135" s="8" t="s">
        <v>8</v>
      </c>
      <c r="I135" s="8" t="s">
        <v>1385</v>
      </c>
      <c r="J135" s="8" t="s">
        <v>68</v>
      </c>
      <c r="K135" s="8" t="s">
        <v>1557</v>
      </c>
      <c r="L135" s="8" t="s">
        <v>43</v>
      </c>
      <c r="M135" s="8"/>
      <c r="N135" s="8"/>
      <c r="O135" s="8"/>
    </row>
    <row r="136" customFormat="false" ht="64.15" hidden="false" customHeight="false" outlineLevel="0" collapsed="false">
      <c r="A136" s="8" t="s">
        <v>1558</v>
      </c>
      <c r="B136" s="8" t="s">
        <v>61</v>
      </c>
      <c r="C136" s="8" t="s">
        <v>1559</v>
      </c>
      <c r="D136" s="8" t="s">
        <v>1560</v>
      </c>
      <c r="E136" s="8" t="s">
        <v>1561</v>
      </c>
      <c r="F136" s="8" t="s">
        <v>1562</v>
      </c>
      <c r="G136" s="8" t="s">
        <v>866</v>
      </c>
      <c r="H136" s="8" t="s">
        <v>5</v>
      </c>
      <c r="I136" s="8" t="s">
        <v>18</v>
      </c>
      <c r="J136" s="8" t="s">
        <v>69</v>
      </c>
      <c r="K136" s="8" t="s">
        <v>867</v>
      </c>
      <c r="L136" s="8" t="s">
        <v>43</v>
      </c>
      <c r="M136" s="8" t="s">
        <v>116</v>
      </c>
      <c r="N136" s="8" t="s">
        <v>868</v>
      </c>
      <c r="O136" s="8" t="s">
        <v>869</v>
      </c>
    </row>
    <row r="137" customFormat="false" ht="85.05" hidden="false" customHeight="false" outlineLevel="0" collapsed="false">
      <c r="A137" s="8" t="s">
        <v>1563</v>
      </c>
      <c r="B137" s="8" t="s">
        <v>61</v>
      </c>
      <c r="C137" s="8" t="s">
        <v>1564</v>
      </c>
      <c r="D137" s="8" t="s">
        <v>43</v>
      </c>
      <c r="E137" s="8" t="s">
        <v>1565</v>
      </c>
      <c r="F137" s="8" t="s">
        <v>1566</v>
      </c>
      <c r="G137" s="8" t="s">
        <v>866</v>
      </c>
      <c r="H137" s="8" t="s">
        <v>5</v>
      </c>
      <c r="I137" s="8" t="s">
        <v>18</v>
      </c>
      <c r="J137" s="8" t="s">
        <v>68</v>
      </c>
      <c r="K137" s="8" t="s">
        <v>867</v>
      </c>
      <c r="L137" s="8" t="s">
        <v>43</v>
      </c>
      <c r="M137" s="8" t="s">
        <v>116</v>
      </c>
      <c r="N137" s="8" t="s">
        <v>868</v>
      </c>
      <c r="O137" s="8" t="s">
        <v>869</v>
      </c>
    </row>
    <row r="138" customFormat="false" ht="22.35" hidden="false" customHeight="false" outlineLevel="0" collapsed="false">
      <c r="A138" s="8" t="s">
        <v>1567</v>
      </c>
      <c r="B138" s="8" t="s">
        <v>61</v>
      </c>
      <c r="C138" s="8" t="s">
        <v>1568</v>
      </c>
      <c r="D138" s="8" t="s">
        <v>1569</v>
      </c>
      <c r="E138" s="8" t="s">
        <v>1570</v>
      </c>
      <c r="F138" s="8" t="s">
        <v>1571</v>
      </c>
      <c r="G138" s="8" t="s">
        <v>1572</v>
      </c>
      <c r="H138" s="8" t="s">
        <v>5</v>
      </c>
      <c r="I138" s="8" t="s">
        <v>891</v>
      </c>
      <c r="J138" s="8" t="s">
        <v>68</v>
      </c>
      <c r="K138" s="8" t="s">
        <v>1573</v>
      </c>
      <c r="L138" s="8" t="s">
        <v>1574</v>
      </c>
      <c r="M138" s="8" t="s">
        <v>116</v>
      </c>
      <c r="N138" s="8" t="s">
        <v>868</v>
      </c>
      <c r="O138" s="8" t="s">
        <v>869</v>
      </c>
    </row>
    <row r="139" customFormat="false" ht="64.15" hidden="false" customHeight="false" outlineLevel="0" collapsed="false">
      <c r="A139" s="8" t="s">
        <v>1575</v>
      </c>
      <c r="B139" s="8" t="s">
        <v>61</v>
      </c>
      <c r="C139" s="8" t="s">
        <v>1576</v>
      </c>
      <c r="D139" s="8" t="s">
        <v>1577</v>
      </c>
      <c r="E139" s="8" t="s">
        <v>1578</v>
      </c>
      <c r="F139" s="8" t="s">
        <v>1579</v>
      </c>
      <c r="G139" s="8" t="s">
        <v>1580</v>
      </c>
      <c r="H139" s="8" t="s">
        <v>5</v>
      </c>
      <c r="I139" s="8" t="s">
        <v>1030</v>
      </c>
      <c r="J139" s="8" t="s">
        <v>68</v>
      </c>
      <c r="K139" s="8" t="s">
        <v>1055</v>
      </c>
      <c r="L139" s="8" t="s">
        <v>1581</v>
      </c>
      <c r="M139" s="8" t="s">
        <v>116</v>
      </c>
      <c r="N139" s="8" t="s">
        <v>868</v>
      </c>
      <c r="O139" s="8" t="s">
        <v>869</v>
      </c>
    </row>
    <row r="140" customFormat="false" ht="32.8" hidden="false" customHeight="false" outlineLevel="0" collapsed="false">
      <c r="A140" s="8" t="s">
        <v>1582</v>
      </c>
      <c r="B140" s="8" t="s">
        <v>62</v>
      </c>
      <c r="C140" s="8" t="s">
        <v>1583</v>
      </c>
      <c r="D140" s="8" t="s">
        <v>1584</v>
      </c>
      <c r="E140" s="8" t="s">
        <v>1585</v>
      </c>
      <c r="F140" s="8" t="s">
        <v>1586</v>
      </c>
      <c r="G140" s="8" t="s">
        <v>1587</v>
      </c>
      <c r="H140" s="8" t="s">
        <v>5</v>
      </c>
      <c r="I140" s="8" t="s">
        <v>1483</v>
      </c>
      <c r="J140" s="8" t="s">
        <v>68</v>
      </c>
      <c r="K140" s="8" t="s">
        <v>1588</v>
      </c>
      <c r="L140" s="8" t="s">
        <v>43</v>
      </c>
      <c r="M140" s="8" t="s">
        <v>116</v>
      </c>
      <c r="N140" s="8" t="s">
        <v>868</v>
      </c>
      <c r="O140" s="8" t="s">
        <v>869</v>
      </c>
    </row>
    <row r="141" customFormat="false" ht="32.8" hidden="false" customHeight="false" outlineLevel="0" collapsed="false">
      <c r="A141" s="8" t="s">
        <v>1589</v>
      </c>
      <c r="B141" s="8" t="s">
        <v>62</v>
      </c>
      <c r="C141" s="8" t="s">
        <v>1590</v>
      </c>
      <c r="D141" s="8" t="s">
        <v>1591</v>
      </c>
      <c r="E141" s="8" t="s">
        <v>1592</v>
      </c>
      <c r="F141" s="8" t="s">
        <v>1593</v>
      </c>
      <c r="G141" s="8" t="s">
        <v>1587</v>
      </c>
      <c r="H141" s="8" t="s">
        <v>5</v>
      </c>
      <c r="I141" s="8" t="s">
        <v>1483</v>
      </c>
      <c r="J141" s="8" t="s">
        <v>68</v>
      </c>
      <c r="K141" s="8" t="s">
        <v>1594</v>
      </c>
      <c r="L141" s="8" t="s">
        <v>43</v>
      </c>
      <c r="M141" s="8" t="s">
        <v>116</v>
      </c>
      <c r="N141" s="8" t="s">
        <v>868</v>
      </c>
      <c r="O141" s="8" t="s">
        <v>869</v>
      </c>
    </row>
    <row r="142" customFormat="false" ht="32.8" hidden="false" customHeight="false" outlineLevel="0" collapsed="false">
      <c r="A142" s="8" t="s">
        <v>1595</v>
      </c>
      <c r="B142" s="8" t="s">
        <v>62</v>
      </c>
      <c r="C142" s="8" t="s">
        <v>1596</v>
      </c>
      <c r="D142" s="8" t="s">
        <v>1597</v>
      </c>
      <c r="E142" s="8" t="s">
        <v>1598</v>
      </c>
      <c r="F142" s="8" t="s">
        <v>1599</v>
      </c>
      <c r="G142" s="8" t="s">
        <v>1587</v>
      </c>
      <c r="H142" s="8" t="s">
        <v>5</v>
      </c>
      <c r="I142" s="8" t="s">
        <v>1483</v>
      </c>
      <c r="J142" s="8" t="s">
        <v>69</v>
      </c>
      <c r="K142" s="8" t="s">
        <v>1588</v>
      </c>
      <c r="L142" s="8" t="s">
        <v>43</v>
      </c>
      <c r="M142" s="8" t="s">
        <v>116</v>
      </c>
      <c r="N142" s="8" t="s">
        <v>868</v>
      </c>
      <c r="O142" s="8" t="s">
        <v>869</v>
      </c>
    </row>
    <row r="143" customFormat="false" ht="32.8" hidden="false" customHeight="false" outlineLevel="0" collapsed="false">
      <c r="A143" s="8" t="s">
        <v>1600</v>
      </c>
      <c r="B143" s="8" t="s">
        <v>62</v>
      </c>
      <c r="C143" s="8" t="s">
        <v>1601</v>
      </c>
      <c r="D143" s="8" t="s">
        <v>1597</v>
      </c>
      <c r="E143" s="8" t="s">
        <v>1602</v>
      </c>
      <c r="F143" s="8" t="s">
        <v>1603</v>
      </c>
      <c r="G143" s="8" t="s">
        <v>1587</v>
      </c>
      <c r="H143" s="8" t="s">
        <v>5</v>
      </c>
      <c r="I143" s="8" t="s">
        <v>1483</v>
      </c>
      <c r="J143" s="8" t="s">
        <v>69</v>
      </c>
      <c r="K143" s="8" t="s">
        <v>1588</v>
      </c>
      <c r="L143" s="8" t="s">
        <v>43</v>
      </c>
      <c r="M143" s="8" t="s">
        <v>116</v>
      </c>
      <c r="N143" s="8" t="s">
        <v>868</v>
      </c>
      <c r="O143" s="8" t="s">
        <v>869</v>
      </c>
    </row>
    <row r="144" customFormat="false" ht="32.8" hidden="false" customHeight="false" outlineLevel="0" collapsed="false">
      <c r="A144" s="8" t="s">
        <v>1604</v>
      </c>
      <c r="B144" s="8" t="s">
        <v>62</v>
      </c>
      <c r="C144" s="8" t="s">
        <v>1605</v>
      </c>
      <c r="D144" s="8" t="s">
        <v>16</v>
      </c>
      <c r="E144" s="8" t="s">
        <v>1606</v>
      </c>
      <c r="F144" s="8" t="s">
        <v>1607</v>
      </c>
      <c r="G144" s="8" t="s">
        <v>1432</v>
      </c>
      <c r="H144" s="8" t="s">
        <v>5</v>
      </c>
      <c r="I144" s="8" t="s">
        <v>16</v>
      </c>
      <c r="J144" s="8" t="s">
        <v>68</v>
      </c>
      <c r="K144" s="8" t="s">
        <v>1608</v>
      </c>
      <c r="L144" s="8" t="s">
        <v>43</v>
      </c>
      <c r="M144" s="8" t="s">
        <v>116</v>
      </c>
      <c r="N144" s="8" t="s">
        <v>868</v>
      </c>
      <c r="O144" s="8" t="s">
        <v>869</v>
      </c>
    </row>
    <row r="145" customFormat="false" ht="22.35" hidden="false" customHeight="false" outlineLevel="0" collapsed="false">
      <c r="A145" s="8" t="s">
        <v>1609</v>
      </c>
      <c r="B145" s="8" t="s">
        <v>62</v>
      </c>
      <c r="C145" s="8" t="s">
        <v>1610</v>
      </c>
      <c r="D145" s="8" t="s">
        <v>1611</v>
      </c>
      <c r="E145" s="8" t="s">
        <v>1612</v>
      </c>
      <c r="F145" s="8" t="s">
        <v>1613</v>
      </c>
      <c r="G145" s="8" t="s">
        <v>1482</v>
      </c>
      <c r="H145" s="8" t="s">
        <v>8</v>
      </c>
      <c r="I145" s="8" t="s">
        <v>1483</v>
      </c>
      <c r="J145" s="8" t="s">
        <v>68</v>
      </c>
      <c r="K145" s="8" t="s">
        <v>1614</v>
      </c>
      <c r="L145" s="8" t="s">
        <v>43</v>
      </c>
      <c r="M145" s="8"/>
      <c r="N145" s="8"/>
      <c r="O145" s="8"/>
    </row>
    <row r="146" customFormat="false" ht="22.35" hidden="false" customHeight="false" outlineLevel="0" collapsed="false">
      <c r="A146" s="8" t="s">
        <v>1615</v>
      </c>
      <c r="B146" s="8" t="s">
        <v>62</v>
      </c>
      <c r="C146" s="8" t="s">
        <v>1616</v>
      </c>
      <c r="D146" s="8" t="s">
        <v>1617</v>
      </c>
      <c r="E146" s="8" t="s">
        <v>1618</v>
      </c>
      <c r="F146" s="8" t="s">
        <v>1619</v>
      </c>
      <c r="G146" s="8" t="s">
        <v>1482</v>
      </c>
      <c r="H146" s="8" t="s">
        <v>8</v>
      </c>
      <c r="I146" s="8" t="s">
        <v>1483</v>
      </c>
      <c r="J146" s="8" t="s">
        <v>69</v>
      </c>
      <c r="K146" s="8" t="s">
        <v>1620</v>
      </c>
      <c r="L146" s="8" t="s">
        <v>43</v>
      </c>
      <c r="M146" s="8"/>
      <c r="N146" s="8"/>
      <c r="O146" s="8"/>
    </row>
    <row r="147" customFormat="false" ht="22.35" hidden="false" customHeight="false" outlineLevel="0" collapsed="false">
      <c r="A147" s="8" t="s">
        <v>1621</v>
      </c>
      <c r="B147" s="8" t="s">
        <v>62</v>
      </c>
      <c r="C147" s="8" t="s">
        <v>1622</v>
      </c>
      <c r="D147" s="8" t="s">
        <v>1623</v>
      </c>
      <c r="E147" s="8" t="s">
        <v>1624</v>
      </c>
      <c r="F147" s="8" t="s">
        <v>1625</v>
      </c>
      <c r="G147" s="8" t="s">
        <v>1482</v>
      </c>
      <c r="H147" s="8" t="s">
        <v>8</v>
      </c>
      <c r="I147" s="8" t="s">
        <v>1483</v>
      </c>
      <c r="J147" s="8" t="s">
        <v>68</v>
      </c>
      <c r="K147" s="8" t="s">
        <v>1626</v>
      </c>
      <c r="L147" s="8" t="s">
        <v>43</v>
      </c>
      <c r="M147" s="8"/>
      <c r="N147" s="8"/>
      <c r="O147" s="8"/>
    </row>
    <row r="148" customFormat="false" ht="22.35" hidden="false" customHeight="false" outlineLevel="0" collapsed="false">
      <c r="A148" s="8" t="s">
        <v>1627</v>
      </c>
      <c r="B148" s="8" t="s">
        <v>63</v>
      </c>
      <c r="C148" s="8" t="s">
        <v>1628</v>
      </c>
      <c r="D148" s="8" t="s">
        <v>1629</v>
      </c>
      <c r="E148" s="8" t="s">
        <v>1630</v>
      </c>
      <c r="F148" s="8" t="s">
        <v>1631</v>
      </c>
      <c r="G148" s="8" t="s">
        <v>1482</v>
      </c>
      <c r="H148" s="8" t="s">
        <v>8</v>
      </c>
      <c r="I148" s="8" t="s">
        <v>1483</v>
      </c>
      <c r="J148" s="8" t="s">
        <v>68</v>
      </c>
      <c r="K148" s="8" t="s">
        <v>1632</v>
      </c>
      <c r="L148" s="8" t="s">
        <v>43</v>
      </c>
      <c r="M148" s="8"/>
      <c r="N148" s="8"/>
      <c r="O148" s="8"/>
    </row>
    <row r="149" customFormat="false" ht="32.8" hidden="false" customHeight="false" outlineLevel="0" collapsed="false">
      <c r="A149" s="8" t="s">
        <v>1633</v>
      </c>
      <c r="B149" s="8" t="s">
        <v>63</v>
      </c>
      <c r="C149" s="8" t="s">
        <v>1634</v>
      </c>
      <c r="D149" s="8" t="s">
        <v>1635</v>
      </c>
      <c r="E149" s="8" t="s">
        <v>1636</v>
      </c>
      <c r="F149" s="8" t="s">
        <v>1637</v>
      </c>
      <c r="G149" s="8" t="s">
        <v>1638</v>
      </c>
      <c r="H149" s="8" t="s">
        <v>8</v>
      </c>
      <c r="I149" s="8" t="s">
        <v>1639</v>
      </c>
      <c r="J149" s="8" t="s">
        <v>68</v>
      </c>
      <c r="K149" s="8" t="s">
        <v>1640</v>
      </c>
      <c r="L149" s="8" t="s">
        <v>43</v>
      </c>
      <c r="M149" s="8"/>
      <c r="N149" s="8"/>
      <c r="O149" s="8"/>
    </row>
    <row r="150" customFormat="false" ht="22.35" hidden="false" customHeight="false" outlineLevel="0" collapsed="false">
      <c r="A150" s="8" t="s">
        <v>1641</v>
      </c>
      <c r="B150" s="8" t="s">
        <v>63</v>
      </c>
      <c r="C150" s="8" t="s">
        <v>1642</v>
      </c>
      <c r="D150" s="8" t="s">
        <v>1643</v>
      </c>
      <c r="E150" s="8" t="s">
        <v>1644</v>
      </c>
      <c r="F150" s="8" t="s">
        <v>1645</v>
      </c>
      <c r="G150" s="8" t="s">
        <v>1638</v>
      </c>
      <c r="H150" s="8" t="s">
        <v>8</v>
      </c>
      <c r="I150" s="8" t="s">
        <v>1639</v>
      </c>
      <c r="J150" s="8" t="s">
        <v>69</v>
      </c>
      <c r="K150" s="8" t="s">
        <v>1640</v>
      </c>
      <c r="L150" s="8" t="s">
        <v>43</v>
      </c>
      <c r="M150" s="8"/>
      <c r="N150" s="8"/>
      <c r="O150" s="8"/>
    </row>
    <row r="151" customFormat="false" ht="22.35" hidden="false" customHeight="false" outlineLevel="0" collapsed="false">
      <c r="A151" s="8" t="s">
        <v>1646</v>
      </c>
      <c r="B151" s="8" t="s">
        <v>63</v>
      </c>
      <c r="C151" s="8" t="s">
        <v>1647</v>
      </c>
      <c r="D151" s="8" t="s">
        <v>1648</v>
      </c>
      <c r="E151" s="8" t="s">
        <v>1649</v>
      </c>
      <c r="F151" s="8" t="s">
        <v>1650</v>
      </c>
      <c r="G151" s="8" t="s">
        <v>1086</v>
      </c>
      <c r="H151" s="8" t="s">
        <v>5</v>
      </c>
      <c r="I151" s="8" t="s">
        <v>16</v>
      </c>
      <c r="J151" s="8" t="s">
        <v>68</v>
      </c>
      <c r="K151" s="8" t="s">
        <v>1087</v>
      </c>
      <c r="L151" s="8" t="s">
        <v>43</v>
      </c>
      <c r="M151" s="8" t="s">
        <v>116</v>
      </c>
      <c r="N151" s="8" t="s">
        <v>868</v>
      </c>
      <c r="O151" s="8" t="s">
        <v>869</v>
      </c>
    </row>
    <row r="152" customFormat="false" ht="22.35" hidden="false" customHeight="false" outlineLevel="0" collapsed="false">
      <c r="A152" s="8" t="s">
        <v>1651</v>
      </c>
      <c r="B152" s="8" t="s">
        <v>63</v>
      </c>
      <c r="C152" s="8" t="s">
        <v>1652</v>
      </c>
      <c r="D152" s="8" t="s">
        <v>1653</v>
      </c>
      <c r="E152" s="8" t="s">
        <v>1654</v>
      </c>
      <c r="F152" s="8" t="s">
        <v>1655</v>
      </c>
      <c r="G152" s="8" t="s">
        <v>866</v>
      </c>
      <c r="H152" s="8" t="s">
        <v>5</v>
      </c>
      <c r="I152" s="8" t="s">
        <v>18</v>
      </c>
      <c r="J152" s="8" t="s">
        <v>70</v>
      </c>
      <c r="K152" s="8" t="s">
        <v>867</v>
      </c>
      <c r="L152" s="8" t="s">
        <v>43</v>
      </c>
      <c r="M152" s="8" t="s">
        <v>116</v>
      </c>
      <c r="N152" s="8" t="s">
        <v>868</v>
      </c>
      <c r="O152" s="8" t="s">
        <v>869</v>
      </c>
    </row>
    <row r="153" customFormat="false" ht="22.35" hidden="false" customHeight="false" outlineLevel="0" collapsed="false">
      <c r="A153" s="8" t="s">
        <v>1656</v>
      </c>
      <c r="B153" s="8" t="s">
        <v>63</v>
      </c>
      <c r="C153" s="8" t="s">
        <v>1657</v>
      </c>
      <c r="D153" s="8" t="s">
        <v>1658</v>
      </c>
      <c r="E153" s="8" t="s">
        <v>1659</v>
      </c>
      <c r="F153" s="8" t="s">
        <v>1660</v>
      </c>
      <c r="G153" s="8" t="s">
        <v>1456</v>
      </c>
      <c r="H153" s="8" t="s">
        <v>8</v>
      </c>
      <c r="I153" s="8" t="s">
        <v>1661</v>
      </c>
      <c r="J153" s="8" t="s">
        <v>69</v>
      </c>
      <c r="K153" s="8" t="s">
        <v>1640</v>
      </c>
      <c r="L153" s="8" t="s">
        <v>43</v>
      </c>
      <c r="M153" s="8"/>
      <c r="N153" s="8"/>
      <c r="O153" s="8"/>
    </row>
    <row r="154" customFormat="false" ht="22.35" hidden="false" customHeight="false" outlineLevel="0" collapsed="false">
      <c r="A154" s="8" t="s">
        <v>1662</v>
      </c>
      <c r="B154" s="8" t="s">
        <v>64</v>
      </c>
      <c r="C154" s="8" t="s">
        <v>1663</v>
      </c>
      <c r="D154" s="8" t="s">
        <v>1664</v>
      </c>
      <c r="E154" s="8" t="s">
        <v>1665</v>
      </c>
      <c r="F154" s="8" t="s">
        <v>1666</v>
      </c>
      <c r="G154" s="8" t="s">
        <v>1456</v>
      </c>
      <c r="H154" s="8" t="s">
        <v>8</v>
      </c>
      <c r="I154" s="8" t="s">
        <v>1661</v>
      </c>
      <c r="J154" s="8" t="s">
        <v>68</v>
      </c>
      <c r="K154" s="8" t="s">
        <v>1640</v>
      </c>
      <c r="L154" s="8" t="s">
        <v>43</v>
      </c>
      <c r="M154" s="8"/>
      <c r="N154" s="8"/>
      <c r="O154" s="8"/>
    </row>
    <row r="155" customFormat="false" ht="22.35" hidden="false" customHeight="false" outlineLevel="0" collapsed="false">
      <c r="A155" s="8" t="s">
        <v>1667</v>
      </c>
      <c r="B155" s="8" t="s">
        <v>64</v>
      </c>
      <c r="C155" s="8" t="s">
        <v>1668</v>
      </c>
      <c r="D155" s="8" t="s">
        <v>1669</v>
      </c>
      <c r="E155" s="8" t="s">
        <v>1670</v>
      </c>
      <c r="F155" s="8" t="s">
        <v>1671</v>
      </c>
      <c r="G155" s="8" t="s">
        <v>1456</v>
      </c>
      <c r="H155" s="8" t="s">
        <v>8</v>
      </c>
      <c r="I155" s="8" t="s">
        <v>1661</v>
      </c>
      <c r="J155" s="8" t="s">
        <v>68</v>
      </c>
      <c r="K155" s="8" t="s">
        <v>1672</v>
      </c>
      <c r="L155" s="8" t="s">
        <v>43</v>
      </c>
      <c r="M155" s="8"/>
      <c r="N155" s="8"/>
      <c r="O155" s="8"/>
    </row>
    <row r="156" customFormat="false" ht="22.35" hidden="false" customHeight="false" outlineLevel="0" collapsed="false">
      <c r="A156" s="8" t="s">
        <v>1673</v>
      </c>
      <c r="B156" s="8" t="s">
        <v>64</v>
      </c>
      <c r="C156" s="8" t="s">
        <v>1674</v>
      </c>
      <c r="D156" s="8" t="s">
        <v>1675</v>
      </c>
      <c r="E156" s="8" t="s">
        <v>1676</v>
      </c>
      <c r="F156" s="8" t="s">
        <v>1677</v>
      </c>
      <c r="G156" s="8" t="s">
        <v>1456</v>
      </c>
      <c r="H156" s="8" t="s">
        <v>8</v>
      </c>
      <c r="I156" s="8" t="s">
        <v>1661</v>
      </c>
      <c r="J156" s="8" t="s">
        <v>68</v>
      </c>
      <c r="K156" s="8" t="s">
        <v>1640</v>
      </c>
      <c r="L156" s="8" t="s">
        <v>43</v>
      </c>
      <c r="M156" s="8"/>
      <c r="N156" s="8"/>
      <c r="O156" s="8"/>
    </row>
    <row r="157" customFormat="false" ht="22.35" hidden="false" customHeight="false" outlineLevel="0" collapsed="false">
      <c r="A157" s="8" t="s">
        <v>1678</v>
      </c>
      <c r="B157" s="8" t="s">
        <v>64</v>
      </c>
      <c r="C157" s="8" t="s">
        <v>1679</v>
      </c>
      <c r="D157" s="8" t="s">
        <v>1680</v>
      </c>
      <c r="E157" s="8" t="s">
        <v>1681</v>
      </c>
      <c r="F157" s="8" t="s">
        <v>1682</v>
      </c>
      <c r="G157" s="8" t="s">
        <v>1456</v>
      </c>
      <c r="H157" s="8" t="s">
        <v>8</v>
      </c>
      <c r="I157" s="8" t="s">
        <v>1661</v>
      </c>
      <c r="J157" s="8" t="s">
        <v>68</v>
      </c>
      <c r="K157" s="8" t="s">
        <v>1640</v>
      </c>
      <c r="L157" s="8" t="s">
        <v>43</v>
      </c>
      <c r="M157" s="8"/>
      <c r="N157" s="8"/>
      <c r="O157" s="8"/>
    </row>
    <row r="158" customFormat="false" ht="22.35" hidden="false" customHeight="false" outlineLevel="0" collapsed="false">
      <c r="A158" s="8" t="s">
        <v>1683</v>
      </c>
      <c r="B158" s="8" t="s">
        <v>64</v>
      </c>
      <c r="C158" s="8" t="s">
        <v>1684</v>
      </c>
      <c r="D158" s="8" t="s">
        <v>1685</v>
      </c>
      <c r="E158" s="8" t="s">
        <v>1686</v>
      </c>
      <c r="F158" s="8" t="s">
        <v>1687</v>
      </c>
      <c r="G158" s="8" t="s">
        <v>1456</v>
      </c>
      <c r="H158" s="8" t="s">
        <v>8</v>
      </c>
      <c r="I158" s="8" t="s">
        <v>1661</v>
      </c>
      <c r="J158" s="8" t="s">
        <v>68</v>
      </c>
      <c r="K158" s="8" t="s">
        <v>1640</v>
      </c>
      <c r="L158" s="8" t="s">
        <v>43</v>
      </c>
      <c r="M158" s="8"/>
      <c r="N158" s="8"/>
      <c r="O158" s="8"/>
    </row>
    <row r="159" customFormat="false" ht="22.35" hidden="false" customHeight="false" outlineLevel="0" collapsed="false">
      <c r="A159" s="8" t="s">
        <v>1688</v>
      </c>
      <c r="B159" s="8" t="s">
        <v>64</v>
      </c>
      <c r="C159" s="8" t="s">
        <v>1689</v>
      </c>
      <c r="D159" s="8" t="s">
        <v>1690</v>
      </c>
      <c r="E159" s="8" t="s">
        <v>1691</v>
      </c>
      <c r="F159" s="8" t="s">
        <v>1692</v>
      </c>
      <c r="G159" s="8" t="s">
        <v>1693</v>
      </c>
      <c r="H159" s="8" t="s">
        <v>7</v>
      </c>
      <c r="I159" s="8" t="s">
        <v>1661</v>
      </c>
      <c r="J159" s="8" t="s">
        <v>68</v>
      </c>
      <c r="K159" s="8" t="s">
        <v>1694</v>
      </c>
      <c r="L159" s="8" t="s">
        <v>1695</v>
      </c>
      <c r="M159" s="8"/>
      <c r="N159" s="8"/>
      <c r="O159" s="8"/>
    </row>
    <row r="160" customFormat="false" ht="32.8" hidden="false" customHeight="false" outlineLevel="0" collapsed="false">
      <c r="A160" s="8" t="s">
        <v>1696</v>
      </c>
      <c r="B160" s="8" t="s">
        <v>65</v>
      </c>
      <c r="C160" s="8" t="s">
        <v>1697</v>
      </c>
      <c r="D160" s="8" t="s">
        <v>1698</v>
      </c>
      <c r="E160" s="8" t="s">
        <v>1699</v>
      </c>
      <c r="F160" s="8" t="s">
        <v>1700</v>
      </c>
      <c r="G160" s="8" t="s">
        <v>1273</v>
      </c>
      <c r="H160" s="8" t="s">
        <v>5</v>
      </c>
      <c r="I160" s="8" t="s">
        <v>1030</v>
      </c>
      <c r="J160" s="8" t="s">
        <v>68</v>
      </c>
      <c r="K160" s="8" t="s">
        <v>1274</v>
      </c>
      <c r="L160" s="8" t="s">
        <v>43</v>
      </c>
      <c r="M160" s="8" t="s">
        <v>116</v>
      </c>
      <c r="N160" s="8" t="s">
        <v>868</v>
      </c>
      <c r="O160" s="8" t="s">
        <v>869</v>
      </c>
    </row>
    <row r="161" customFormat="false" ht="53.7" hidden="false" customHeight="false" outlineLevel="0" collapsed="false">
      <c r="A161" s="8" t="s">
        <v>1701</v>
      </c>
      <c r="B161" s="8" t="s">
        <v>65</v>
      </c>
      <c r="C161" s="8" t="s">
        <v>1702</v>
      </c>
      <c r="D161" s="8" t="s">
        <v>1703</v>
      </c>
      <c r="E161" s="8" t="s">
        <v>1704</v>
      </c>
      <c r="F161" s="8" t="s">
        <v>1705</v>
      </c>
      <c r="G161" s="8" t="s">
        <v>866</v>
      </c>
      <c r="H161" s="8" t="s">
        <v>5</v>
      </c>
      <c r="I161" s="8" t="s">
        <v>18</v>
      </c>
      <c r="J161" s="8" t="s">
        <v>68</v>
      </c>
      <c r="K161" s="8" t="s">
        <v>867</v>
      </c>
      <c r="L161" s="8" t="s">
        <v>43</v>
      </c>
      <c r="M161" s="8" t="s">
        <v>116</v>
      </c>
      <c r="N161" s="8" t="s">
        <v>868</v>
      </c>
      <c r="O161" s="8" t="s">
        <v>869</v>
      </c>
    </row>
    <row r="162" customFormat="false" ht="32.8" hidden="false" customHeight="false" outlineLevel="0" collapsed="false">
      <c r="A162" s="8" t="s">
        <v>1706</v>
      </c>
      <c r="B162" s="8" t="s">
        <v>65</v>
      </c>
      <c r="C162" s="8" t="s">
        <v>1707</v>
      </c>
      <c r="D162" s="8" t="s">
        <v>1708</v>
      </c>
      <c r="E162" s="8" t="s">
        <v>1709</v>
      </c>
      <c r="F162" s="8" t="s">
        <v>1710</v>
      </c>
      <c r="G162" s="8" t="s">
        <v>1711</v>
      </c>
      <c r="H162" s="8" t="s">
        <v>5</v>
      </c>
      <c r="I162" s="8" t="s">
        <v>891</v>
      </c>
      <c r="J162" s="8" t="s">
        <v>70</v>
      </c>
      <c r="K162" s="8" t="s">
        <v>1712</v>
      </c>
      <c r="L162" s="8" t="s">
        <v>1713</v>
      </c>
      <c r="M162" s="8" t="s">
        <v>116</v>
      </c>
      <c r="N162" s="8" t="s">
        <v>868</v>
      </c>
      <c r="O162" s="8" t="s">
        <v>869</v>
      </c>
    </row>
    <row r="163" customFormat="false" ht="32.8" hidden="false" customHeight="false" outlineLevel="0" collapsed="false">
      <c r="A163" s="8" t="s">
        <v>1714</v>
      </c>
      <c r="B163" s="8" t="s">
        <v>65</v>
      </c>
      <c r="C163" s="8" t="s">
        <v>1715</v>
      </c>
      <c r="D163" s="8" t="s">
        <v>1716</v>
      </c>
      <c r="E163" s="8" t="s">
        <v>1717</v>
      </c>
      <c r="F163" s="8" t="s">
        <v>1718</v>
      </c>
      <c r="G163" s="8" t="s">
        <v>1719</v>
      </c>
      <c r="H163" s="8" t="s">
        <v>5</v>
      </c>
      <c r="I163" s="8" t="s">
        <v>16</v>
      </c>
      <c r="J163" s="8" t="s">
        <v>68</v>
      </c>
      <c r="K163" s="8" t="s">
        <v>1720</v>
      </c>
      <c r="L163" s="8" t="s">
        <v>1721</v>
      </c>
      <c r="M163" s="8" t="s">
        <v>116</v>
      </c>
      <c r="N163" s="8" t="s">
        <v>868</v>
      </c>
      <c r="O163" s="8" t="s">
        <v>869</v>
      </c>
    </row>
    <row r="164" customFormat="false" ht="32.8" hidden="false" customHeight="false" outlineLevel="0" collapsed="false">
      <c r="A164" s="8" t="s">
        <v>1722</v>
      </c>
      <c r="B164" s="8" t="s">
        <v>65</v>
      </c>
      <c r="C164" s="8" t="s">
        <v>1723</v>
      </c>
      <c r="D164" s="8" t="s">
        <v>1724</v>
      </c>
      <c r="E164" s="8" t="s">
        <v>1725</v>
      </c>
      <c r="F164" s="8" t="s">
        <v>1726</v>
      </c>
      <c r="G164" s="8" t="s">
        <v>1727</v>
      </c>
      <c r="H164" s="8" t="s">
        <v>5</v>
      </c>
      <c r="I164" s="8" t="s">
        <v>18</v>
      </c>
      <c r="J164" s="8" t="s">
        <v>69</v>
      </c>
      <c r="K164" s="8" t="s">
        <v>1728</v>
      </c>
      <c r="L164" s="8" t="s">
        <v>1729</v>
      </c>
      <c r="M164" s="8" t="s">
        <v>116</v>
      </c>
      <c r="N164" s="8" t="s">
        <v>868</v>
      </c>
      <c r="O164" s="8" t="s">
        <v>869</v>
      </c>
    </row>
    <row r="165" customFormat="false" ht="43.25" hidden="false" customHeight="false" outlineLevel="0" collapsed="false">
      <c r="A165" s="8" t="s">
        <v>1730</v>
      </c>
      <c r="B165" s="8" t="s">
        <v>65</v>
      </c>
      <c r="C165" s="8" t="s">
        <v>1731</v>
      </c>
      <c r="D165" s="8" t="s">
        <v>1732</v>
      </c>
      <c r="E165" s="8" t="s">
        <v>1733</v>
      </c>
      <c r="F165" s="8" t="s">
        <v>1734</v>
      </c>
      <c r="G165" s="8" t="s">
        <v>866</v>
      </c>
      <c r="H165" s="8" t="s">
        <v>5</v>
      </c>
      <c r="I165" s="8" t="s">
        <v>18</v>
      </c>
      <c r="J165" s="8" t="s">
        <v>68</v>
      </c>
      <c r="K165" s="8" t="s">
        <v>867</v>
      </c>
      <c r="L165" s="8" t="s">
        <v>43</v>
      </c>
      <c r="M165" s="8" t="s">
        <v>116</v>
      </c>
      <c r="N165" s="8" t="s">
        <v>868</v>
      </c>
      <c r="O165" s="8" t="s">
        <v>869</v>
      </c>
    </row>
    <row r="166" customFormat="false" ht="43.25" hidden="false" customHeight="false" outlineLevel="0" collapsed="false">
      <c r="A166" s="8" t="s">
        <v>1735</v>
      </c>
      <c r="B166" s="8" t="s">
        <v>65</v>
      </c>
      <c r="C166" s="8" t="s">
        <v>1736</v>
      </c>
      <c r="D166" s="8" t="s">
        <v>1737</v>
      </c>
      <c r="E166" s="8" t="s">
        <v>1738</v>
      </c>
      <c r="F166" s="8" t="s">
        <v>1739</v>
      </c>
      <c r="G166" s="8" t="s">
        <v>1740</v>
      </c>
      <c r="H166" s="8" t="s">
        <v>5</v>
      </c>
      <c r="I166" s="8" t="s">
        <v>891</v>
      </c>
      <c r="J166" s="8" t="s">
        <v>68</v>
      </c>
      <c r="K166" s="8" t="s">
        <v>1741</v>
      </c>
      <c r="L166" s="8" t="s">
        <v>1742</v>
      </c>
      <c r="M166" s="8" t="s">
        <v>116</v>
      </c>
      <c r="N166" s="8" t="s">
        <v>868</v>
      </c>
      <c r="O166" s="8" t="s">
        <v>869</v>
      </c>
    </row>
    <row r="167" customFormat="false" ht="32.8" hidden="false" customHeight="false" outlineLevel="0" collapsed="false">
      <c r="A167" s="8" t="s">
        <v>1743</v>
      </c>
      <c r="B167" s="8" t="s">
        <v>65</v>
      </c>
      <c r="C167" s="8" t="s">
        <v>1744</v>
      </c>
      <c r="D167" s="8" t="s">
        <v>1745</v>
      </c>
      <c r="E167" s="8" t="s">
        <v>1746</v>
      </c>
      <c r="F167" s="8" t="s">
        <v>1747</v>
      </c>
      <c r="G167" s="8" t="s">
        <v>866</v>
      </c>
      <c r="H167" s="8" t="s">
        <v>5</v>
      </c>
      <c r="I167" s="8" t="s">
        <v>18</v>
      </c>
      <c r="J167" s="8" t="s">
        <v>68</v>
      </c>
      <c r="K167" s="8" t="s">
        <v>867</v>
      </c>
      <c r="L167" s="8" t="s">
        <v>43</v>
      </c>
      <c r="M167" s="8" t="s">
        <v>116</v>
      </c>
      <c r="N167" s="8" t="s">
        <v>868</v>
      </c>
      <c r="O167" s="8" t="s">
        <v>869</v>
      </c>
    </row>
    <row r="168" customFormat="false" ht="32.8" hidden="false" customHeight="false" outlineLevel="0" collapsed="false">
      <c r="A168" s="8" t="s">
        <v>1748</v>
      </c>
      <c r="B168" s="8" t="s">
        <v>65</v>
      </c>
      <c r="C168" s="8" t="s">
        <v>1749</v>
      </c>
      <c r="D168" s="8" t="s">
        <v>1750</v>
      </c>
      <c r="E168" s="8" t="s">
        <v>1751</v>
      </c>
      <c r="F168" s="8" t="s">
        <v>1752</v>
      </c>
      <c r="G168" s="8" t="s">
        <v>866</v>
      </c>
      <c r="H168" s="8" t="s">
        <v>5</v>
      </c>
      <c r="I168" s="8" t="s">
        <v>18</v>
      </c>
      <c r="J168" s="8" t="s">
        <v>70</v>
      </c>
      <c r="K168" s="8" t="s">
        <v>867</v>
      </c>
      <c r="L168" s="8" t="s">
        <v>43</v>
      </c>
      <c r="M168" s="8" t="s">
        <v>116</v>
      </c>
      <c r="N168" s="8" t="s">
        <v>868</v>
      </c>
      <c r="O168" s="8" t="s">
        <v>869</v>
      </c>
    </row>
  </sheetData>
  <autoFilter ref="A4:O168"/>
  <conditionalFormatting sqref="H5:H168">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"Blocked"</formula>
    </cfRule>
    <cfRule type="cellIs" priority="5" operator="equal" aboveAverage="0" equalAverage="0" bottom="0" percent="0" rank="0" text="" dxfId="8">
      <formula>"Not Run"</formula>
    </cfRule>
  </conditionalFormatting>
  <dataValidations count="1">
    <dataValidation allowBlank="false" errorStyle="stop" operator="between" showDropDown="false" showErrorMessage="false" showInputMessage="false" sqref="H5:H168"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5"/>
    <col collapsed="false" customWidth="true" hidden="false" outlineLevel="0" max="4" min="4" style="0" width="80"/>
    <col collapsed="false" customWidth="true" hidden="false" outlineLevel="0" max="5" min="5" style="0" width="9"/>
    <col collapsed="false" customWidth="true" hidden="false" outlineLevel="0" max="6" min="6" style="0" width="13"/>
    <col collapsed="false" customWidth="true" hidden="false" outlineLevel="0" max="7" min="7" style="0" width="11"/>
  </cols>
  <sheetData>
    <row r="1" customFormat="false" ht="17.35" hidden="false" customHeight="false" outlineLevel="0" collapsed="false">
      <c r="A1" s="1" t="s">
        <v>1753</v>
      </c>
    </row>
    <row r="3" customFormat="false" ht="23.85" hidden="false" customHeight="false" outlineLevel="0" collapsed="false">
      <c r="A3" s="9" t="s">
        <v>1754</v>
      </c>
      <c r="B3" s="9" t="s">
        <v>1755</v>
      </c>
      <c r="C3" s="9" t="s">
        <v>1756</v>
      </c>
      <c r="D3" s="9" t="s">
        <v>1757</v>
      </c>
      <c r="E3" s="9" t="s">
        <v>26</v>
      </c>
      <c r="F3" s="9" t="s">
        <v>103</v>
      </c>
      <c r="G3" s="9" t="s">
        <v>1758</v>
      </c>
    </row>
    <row r="4" customFormat="false" ht="15" hidden="false" customHeight="false" outlineLevel="0" collapsed="false">
      <c r="A4" s="8" t="s">
        <v>867</v>
      </c>
      <c r="B4" s="8" t="s">
        <v>18</v>
      </c>
      <c r="C4" s="8" t="n">
        <v>1</v>
      </c>
      <c r="D4" s="8" t="s">
        <v>1759</v>
      </c>
      <c r="E4" s="8" t="s">
        <v>5</v>
      </c>
      <c r="F4" s="8" t="n">
        <v>1069.1</v>
      </c>
      <c r="G4" s="8" t="s">
        <v>116</v>
      </c>
    </row>
    <row r="5" customFormat="false" ht="15" hidden="false" customHeight="false" outlineLevel="0" collapsed="false">
      <c r="A5" s="8" t="s">
        <v>867</v>
      </c>
      <c r="B5" s="8" t="s">
        <v>18</v>
      </c>
      <c r="C5" s="8" t="n">
        <v>2</v>
      </c>
      <c r="D5" s="8" t="s">
        <v>1760</v>
      </c>
      <c r="E5" s="8" t="s">
        <v>5</v>
      </c>
      <c r="F5" s="8" t="n">
        <v>74.8</v>
      </c>
      <c r="G5" s="8" t="s">
        <v>116</v>
      </c>
    </row>
    <row r="6" customFormat="false" ht="15" hidden="false" customHeight="false" outlineLevel="0" collapsed="false">
      <c r="A6" s="8" t="s">
        <v>867</v>
      </c>
      <c r="B6" s="8" t="s">
        <v>18</v>
      </c>
      <c r="C6" s="8" t="n">
        <v>3</v>
      </c>
      <c r="D6" s="8" t="s">
        <v>1761</v>
      </c>
      <c r="E6" s="8" t="s">
        <v>5</v>
      </c>
      <c r="F6" s="8" t="n">
        <v>54</v>
      </c>
      <c r="G6" s="8" t="s">
        <v>116</v>
      </c>
    </row>
    <row r="7" customFormat="false" ht="15" hidden="false" customHeight="false" outlineLevel="0" collapsed="false">
      <c r="A7" s="8" t="s">
        <v>867</v>
      </c>
      <c r="B7" s="8" t="s">
        <v>18</v>
      </c>
      <c r="C7" s="8" t="n">
        <v>4</v>
      </c>
      <c r="D7" s="8" t="s">
        <v>1762</v>
      </c>
      <c r="E7" s="8" t="s">
        <v>5</v>
      </c>
      <c r="F7" s="8" t="n">
        <v>200.6</v>
      </c>
      <c r="G7" s="8" t="s">
        <v>116</v>
      </c>
    </row>
    <row r="8" customFormat="false" ht="15" hidden="false" customHeight="false" outlineLevel="0" collapsed="false">
      <c r="A8" s="8" t="s">
        <v>867</v>
      </c>
      <c r="B8" s="8" t="s">
        <v>18</v>
      </c>
      <c r="C8" s="8" t="n">
        <v>5</v>
      </c>
      <c r="D8" s="8" t="s">
        <v>1763</v>
      </c>
      <c r="E8" s="8" t="s">
        <v>5</v>
      </c>
      <c r="F8" s="8" t="n">
        <v>120.7</v>
      </c>
      <c r="G8" s="8" t="s">
        <v>116</v>
      </c>
    </row>
    <row r="9" customFormat="false" ht="15" hidden="false" customHeight="false" outlineLevel="0" collapsed="false">
      <c r="A9" s="8" t="s">
        <v>867</v>
      </c>
      <c r="B9" s="8" t="s">
        <v>18</v>
      </c>
      <c r="C9" s="8" t="n">
        <v>6</v>
      </c>
      <c r="D9" s="8" t="s">
        <v>1764</v>
      </c>
      <c r="E9" s="8" t="s">
        <v>5</v>
      </c>
      <c r="F9" s="8" t="n">
        <v>148.9</v>
      </c>
      <c r="G9" s="8" t="s">
        <v>116</v>
      </c>
    </row>
    <row r="10" customFormat="false" ht="15" hidden="false" customHeight="false" outlineLevel="0" collapsed="false">
      <c r="A10" s="8" t="s">
        <v>867</v>
      </c>
      <c r="B10" s="8" t="s">
        <v>18</v>
      </c>
      <c r="C10" s="8" t="n">
        <v>7</v>
      </c>
      <c r="D10" s="8" t="s">
        <v>1765</v>
      </c>
      <c r="E10" s="8" t="s">
        <v>5</v>
      </c>
      <c r="F10" s="8" t="n">
        <v>83.4</v>
      </c>
      <c r="G10" s="8" t="s">
        <v>116</v>
      </c>
    </row>
    <row r="11" customFormat="false" ht="15" hidden="false" customHeight="false" outlineLevel="0" collapsed="false">
      <c r="A11" s="8" t="s">
        <v>867</v>
      </c>
      <c r="B11" s="8" t="s">
        <v>18</v>
      </c>
      <c r="C11" s="8" t="n">
        <v>8</v>
      </c>
      <c r="D11" s="8" t="s">
        <v>1766</v>
      </c>
      <c r="E11" s="8" t="s">
        <v>5</v>
      </c>
      <c r="F11" s="8" t="n">
        <v>96.2</v>
      </c>
      <c r="G11" s="8" t="s">
        <v>116</v>
      </c>
    </row>
    <row r="12" customFormat="false" ht="15" hidden="false" customHeight="false" outlineLevel="0" collapsed="false">
      <c r="A12" s="8" t="s">
        <v>867</v>
      </c>
      <c r="B12" s="8" t="s">
        <v>18</v>
      </c>
      <c r="C12" s="8" t="n">
        <v>9</v>
      </c>
      <c r="D12" s="8" t="s">
        <v>1767</v>
      </c>
      <c r="E12" s="8" t="s">
        <v>5</v>
      </c>
      <c r="F12" s="8" t="n">
        <v>593.6</v>
      </c>
      <c r="G12" s="8" t="s">
        <v>116</v>
      </c>
    </row>
    <row r="13" customFormat="false" ht="22.35" hidden="false" customHeight="false" outlineLevel="0" collapsed="false">
      <c r="A13" s="8" t="s">
        <v>115</v>
      </c>
      <c r="B13" s="8" t="s">
        <v>21</v>
      </c>
      <c r="C13" s="8" t="n">
        <v>1</v>
      </c>
      <c r="D13" s="8" t="s">
        <v>1768</v>
      </c>
      <c r="E13" s="8" t="s">
        <v>5</v>
      </c>
      <c r="F13" s="8" t="n">
        <v>1130.4</v>
      </c>
      <c r="G13" s="8" t="s">
        <v>116</v>
      </c>
    </row>
    <row r="14" customFormat="false" ht="22.35" hidden="false" customHeight="false" outlineLevel="0" collapsed="false">
      <c r="A14" s="8" t="s">
        <v>115</v>
      </c>
      <c r="B14" s="8" t="s">
        <v>21</v>
      </c>
      <c r="C14" s="8" t="n">
        <v>2</v>
      </c>
      <c r="D14" s="8" t="s">
        <v>1769</v>
      </c>
      <c r="E14" s="8" t="s">
        <v>5</v>
      </c>
      <c r="F14" s="8" t="n">
        <v>5.4</v>
      </c>
      <c r="G14" s="8" t="s">
        <v>116</v>
      </c>
    </row>
    <row r="15" customFormat="false" ht="22.35" hidden="false" customHeight="false" outlineLevel="0" collapsed="false">
      <c r="A15" s="8" t="s">
        <v>115</v>
      </c>
      <c r="B15" s="8" t="s">
        <v>21</v>
      </c>
      <c r="C15" s="8" t="n">
        <v>3</v>
      </c>
      <c r="D15" s="8" t="s">
        <v>1770</v>
      </c>
      <c r="E15" s="8" t="s">
        <v>5</v>
      </c>
      <c r="F15" s="8" t="n">
        <v>9.8</v>
      </c>
      <c r="G15" s="8" t="s">
        <v>116</v>
      </c>
    </row>
    <row r="16" customFormat="false" ht="22.35" hidden="false" customHeight="false" outlineLevel="0" collapsed="false">
      <c r="A16" s="8" t="s">
        <v>115</v>
      </c>
      <c r="B16" s="8" t="s">
        <v>21</v>
      </c>
      <c r="C16" s="8" t="n">
        <v>4</v>
      </c>
      <c r="D16" s="8" t="s">
        <v>1771</v>
      </c>
      <c r="E16" s="8" t="s">
        <v>5</v>
      </c>
      <c r="F16" s="8" t="n">
        <v>0.7</v>
      </c>
      <c r="G16" s="8" t="s">
        <v>116</v>
      </c>
    </row>
    <row r="17" customFormat="false" ht="22.35" hidden="false" customHeight="false" outlineLevel="0" collapsed="false">
      <c r="A17" s="8" t="s">
        <v>115</v>
      </c>
      <c r="B17" s="8" t="s">
        <v>21</v>
      </c>
      <c r="C17" s="8" t="n">
        <v>5</v>
      </c>
      <c r="D17" s="8" t="s">
        <v>1772</v>
      </c>
      <c r="E17" s="8" t="s">
        <v>5</v>
      </c>
      <c r="F17" s="8" t="n">
        <v>0.6</v>
      </c>
      <c r="G17" s="8" t="s">
        <v>116</v>
      </c>
    </row>
    <row r="18" customFormat="false" ht="22.35" hidden="false" customHeight="false" outlineLevel="0" collapsed="false">
      <c r="A18" s="8" t="s">
        <v>115</v>
      </c>
      <c r="B18" s="8" t="s">
        <v>21</v>
      </c>
      <c r="C18" s="8" t="n">
        <v>6</v>
      </c>
      <c r="D18" s="8" t="s">
        <v>1773</v>
      </c>
      <c r="E18" s="8" t="s">
        <v>5</v>
      </c>
      <c r="F18" s="8" t="n">
        <v>4.5</v>
      </c>
      <c r="G18" s="8" t="s">
        <v>116</v>
      </c>
    </row>
    <row r="19" customFormat="false" ht="22.35" hidden="false" customHeight="false" outlineLevel="0" collapsed="false">
      <c r="A19" s="8" t="s">
        <v>115</v>
      </c>
      <c r="B19" s="8" t="s">
        <v>21</v>
      </c>
      <c r="C19" s="8" t="n">
        <v>7</v>
      </c>
      <c r="D19" s="8" t="s">
        <v>1774</v>
      </c>
      <c r="E19" s="8" t="s">
        <v>5</v>
      </c>
      <c r="F19" s="8" t="n">
        <v>5.1</v>
      </c>
      <c r="G19" s="8" t="s">
        <v>116</v>
      </c>
    </row>
    <row r="20" customFormat="false" ht="22.35" hidden="false" customHeight="false" outlineLevel="0" collapsed="false">
      <c r="A20" s="8" t="s">
        <v>115</v>
      </c>
      <c r="B20" s="8" t="s">
        <v>21</v>
      </c>
      <c r="C20" s="8" t="n">
        <v>8</v>
      </c>
      <c r="D20" s="8" t="s">
        <v>1775</v>
      </c>
      <c r="E20" s="8" t="s">
        <v>5</v>
      </c>
      <c r="F20" s="8" t="n">
        <v>3.2</v>
      </c>
      <c r="G20" s="8" t="s">
        <v>116</v>
      </c>
    </row>
    <row r="21" customFormat="false" ht="22.35" hidden="false" customHeight="false" outlineLevel="0" collapsed="false">
      <c r="A21" s="8" t="s">
        <v>115</v>
      </c>
      <c r="B21" s="8" t="s">
        <v>21</v>
      </c>
      <c r="C21" s="8" t="n">
        <v>9</v>
      </c>
      <c r="D21" s="8" t="s">
        <v>1776</v>
      </c>
      <c r="E21" s="8" t="s">
        <v>5</v>
      </c>
      <c r="F21" s="8" t="n">
        <v>8.9</v>
      </c>
      <c r="G21" s="8" t="s">
        <v>116</v>
      </c>
    </row>
    <row r="22" customFormat="false" ht="22.35" hidden="false" customHeight="false" outlineLevel="0" collapsed="false">
      <c r="A22" s="8" t="s">
        <v>115</v>
      </c>
      <c r="B22" s="8" t="s">
        <v>21</v>
      </c>
      <c r="C22" s="8" t="n">
        <v>10</v>
      </c>
      <c r="D22" s="8" t="s">
        <v>1777</v>
      </c>
      <c r="E22" s="8" t="s">
        <v>5</v>
      </c>
      <c r="F22" s="8" t="n">
        <v>21.1</v>
      </c>
      <c r="G22" s="8" t="s">
        <v>116</v>
      </c>
    </row>
    <row r="23" customFormat="false" ht="22.35" hidden="false" customHeight="false" outlineLevel="0" collapsed="false">
      <c r="A23" s="8" t="s">
        <v>115</v>
      </c>
      <c r="B23" s="8" t="s">
        <v>21</v>
      </c>
      <c r="C23" s="8" t="n">
        <v>11</v>
      </c>
      <c r="D23" s="8" t="s">
        <v>1778</v>
      </c>
      <c r="E23" s="8" t="s">
        <v>5</v>
      </c>
      <c r="F23" s="8" t="n">
        <v>14.4</v>
      </c>
      <c r="G23" s="8" t="s">
        <v>116</v>
      </c>
    </row>
    <row r="24" customFormat="false" ht="22.35" hidden="false" customHeight="false" outlineLevel="0" collapsed="false">
      <c r="A24" s="8" t="s">
        <v>115</v>
      </c>
      <c r="B24" s="8" t="s">
        <v>21</v>
      </c>
      <c r="C24" s="8" t="n">
        <v>12</v>
      </c>
      <c r="D24" s="8" t="s">
        <v>1779</v>
      </c>
      <c r="E24" s="8" t="s">
        <v>5</v>
      </c>
      <c r="F24" s="8" t="n">
        <v>0.6</v>
      </c>
      <c r="G24" s="8" t="s">
        <v>116</v>
      </c>
    </row>
    <row r="25" customFormat="false" ht="22.35" hidden="false" customHeight="false" outlineLevel="0" collapsed="false">
      <c r="A25" s="8" t="s">
        <v>115</v>
      </c>
      <c r="B25" s="8" t="s">
        <v>21</v>
      </c>
      <c r="C25" s="8" t="n">
        <v>13</v>
      </c>
      <c r="D25" s="8" t="s">
        <v>1780</v>
      </c>
      <c r="E25" s="8" t="s">
        <v>5</v>
      </c>
      <c r="F25" s="8" t="n">
        <v>0.3</v>
      </c>
      <c r="G25" s="8" t="s">
        <v>116</v>
      </c>
    </row>
    <row r="26" customFormat="false" ht="22.35" hidden="false" customHeight="false" outlineLevel="0" collapsed="false">
      <c r="A26" s="8" t="s">
        <v>115</v>
      </c>
      <c r="B26" s="8" t="s">
        <v>21</v>
      </c>
      <c r="C26" s="8" t="n">
        <v>14</v>
      </c>
      <c r="D26" s="8" t="s">
        <v>1781</v>
      </c>
      <c r="E26" s="8" t="s">
        <v>5</v>
      </c>
      <c r="F26" s="8" t="n">
        <v>50.6</v>
      </c>
      <c r="G26" s="8" t="s">
        <v>116</v>
      </c>
    </row>
    <row r="27" customFormat="false" ht="22.35" hidden="false" customHeight="false" outlineLevel="0" collapsed="false">
      <c r="A27" s="8" t="s">
        <v>115</v>
      </c>
      <c r="B27" s="8" t="s">
        <v>21</v>
      </c>
      <c r="C27" s="8" t="n">
        <v>15</v>
      </c>
      <c r="D27" s="8" t="s">
        <v>1782</v>
      </c>
      <c r="E27" s="8" t="s">
        <v>5</v>
      </c>
      <c r="F27" s="8" t="n">
        <v>6</v>
      </c>
      <c r="G27" s="8" t="s">
        <v>116</v>
      </c>
    </row>
    <row r="28" customFormat="false" ht="22.35" hidden="false" customHeight="false" outlineLevel="0" collapsed="false">
      <c r="A28" s="8" t="s">
        <v>115</v>
      </c>
      <c r="B28" s="8" t="s">
        <v>21</v>
      </c>
      <c r="C28" s="8" t="n">
        <v>16</v>
      </c>
      <c r="D28" s="8" t="s">
        <v>1783</v>
      </c>
      <c r="E28" s="8" t="s">
        <v>5</v>
      </c>
      <c r="F28" s="8" t="n">
        <v>4</v>
      </c>
      <c r="G28" s="8" t="s">
        <v>116</v>
      </c>
    </row>
    <row r="29" customFormat="false" ht="22.35" hidden="false" customHeight="false" outlineLevel="0" collapsed="false">
      <c r="A29" s="8" t="s">
        <v>115</v>
      </c>
      <c r="B29" s="8" t="s">
        <v>21</v>
      </c>
      <c r="C29" s="8" t="n">
        <v>17</v>
      </c>
      <c r="D29" s="8" t="s">
        <v>1784</v>
      </c>
      <c r="E29" s="8" t="s">
        <v>5</v>
      </c>
      <c r="F29" s="8" t="n">
        <v>9.6</v>
      </c>
      <c r="G29" s="8" t="s">
        <v>116</v>
      </c>
    </row>
    <row r="30" customFormat="false" ht="22.35" hidden="false" customHeight="false" outlineLevel="0" collapsed="false">
      <c r="A30" s="8" t="s">
        <v>115</v>
      </c>
      <c r="B30" s="8" t="s">
        <v>21</v>
      </c>
      <c r="C30" s="8" t="n">
        <v>18</v>
      </c>
      <c r="D30" s="8" t="s">
        <v>1785</v>
      </c>
      <c r="E30" s="8" t="s">
        <v>5</v>
      </c>
      <c r="F30" s="8" t="n">
        <v>52.7</v>
      </c>
      <c r="G30" s="8" t="s">
        <v>116</v>
      </c>
    </row>
    <row r="31" customFormat="false" ht="22.35" hidden="false" customHeight="false" outlineLevel="0" collapsed="false">
      <c r="A31" s="8" t="s">
        <v>115</v>
      </c>
      <c r="B31" s="8" t="s">
        <v>21</v>
      </c>
      <c r="C31" s="8" t="n">
        <v>19</v>
      </c>
      <c r="D31" s="8" t="s">
        <v>1786</v>
      </c>
      <c r="E31" s="8" t="s">
        <v>5</v>
      </c>
      <c r="F31" s="8" t="n">
        <v>8.9</v>
      </c>
      <c r="G31" s="8" t="s">
        <v>116</v>
      </c>
    </row>
    <row r="32" customFormat="false" ht="22.35" hidden="false" customHeight="false" outlineLevel="0" collapsed="false">
      <c r="A32" s="8" t="s">
        <v>115</v>
      </c>
      <c r="B32" s="8" t="s">
        <v>21</v>
      </c>
      <c r="C32" s="8" t="n">
        <v>20</v>
      </c>
      <c r="D32" s="8" t="s">
        <v>1787</v>
      </c>
      <c r="E32" s="8" t="s">
        <v>5</v>
      </c>
      <c r="F32" s="8" t="n">
        <v>31.5</v>
      </c>
      <c r="G32" s="8" t="s">
        <v>116</v>
      </c>
    </row>
    <row r="33" customFormat="false" ht="22.35" hidden="false" customHeight="false" outlineLevel="0" collapsed="false">
      <c r="A33" s="8" t="s">
        <v>115</v>
      </c>
      <c r="B33" s="8" t="s">
        <v>21</v>
      </c>
      <c r="C33" s="8" t="n">
        <v>21</v>
      </c>
      <c r="D33" s="8" t="s">
        <v>1788</v>
      </c>
      <c r="E33" s="8" t="s">
        <v>5</v>
      </c>
      <c r="F33" s="8" t="n">
        <v>61.9</v>
      </c>
      <c r="G33" s="8" t="s">
        <v>116</v>
      </c>
    </row>
    <row r="34" customFormat="false" ht="22.35" hidden="false" customHeight="false" outlineLevel="0" collapsed="false">
      <c r="A34" s="8" t="s">
        <v>115</v>
      </c>
      <c r="B34" s="8" t="s">
        <v>21</v>
      </c>
      <c r="C34" s="8" t="n">
        <v>22</v>
      </c>
      <c r="D34" s="8" t="s">
        <v>1789</v>
      </c>
      <c r="E34" s="8" t="s">
        <v>5</v>
      </c>
      <c r="F34" s="8" t="n">
        <v>1.3</v>
      </c>
      <c r="G34" s="8" t="s">
        <v>116</v>
      </c>
    </row>
    <row r="35" customFormat="false" ht="22.35" hidden="false" customHeight="false" outlineLevel="0" collapsed="false">
      <c r="A35" s="8" t="s">
        <v>115</v>
      </c>
      <c r="B35" s="8" t="s">
        <v>21</v>
      </c>
      <c r="C35" s="8" t="n">
        <v>23</v>
      </c>
      <c r="D35" s="8" t="s">
        <v>1790</v>
      </c>
      <c r="E35" s="8" t="s">
        <v>5</v>
      </c>
      <c r="F35" s="8" t="n">
        <v>1.6</v>
      </c>
      <c r="G35" s="8" t="s">
        <v>116</v>
      </c>
    </row>
    <row r="36" customFormat="false" ht="22.35" hidden="false" customHeight="false" outlineLevel="0" collapsed="false">
      <c r="A36" s="8" t="s">
        <v>115</v>
      </c>
      <c r="B36" s="8" t="s">
        <v>21</v>
      </c>
      <c r="C36" s="8" t="n">
        <v>24</v>
      </c>
      <c r="D36" s="8" t="s">
        <v>1791</v>
      </c>
      <c r="E36" s="8" t="s">
        <v>5</v>
      </c>
      <c r="F36" s="8" t="n">
        <v>0.4</v>
      </c>
      <c r="G36" s="8" t="s">
        <v>116</v>
      </c>
    </row>
    <row r="37" customFormat="false" ht="22.35" hidden="false" customHeight="false" outlineLevel="0" collapsed="false">
      <c r="A37" s="8" t="s">
        <v>115</v>
      </c>
      <c r="B37" s="8" t="s">
        <v>21</v>
      </c>
      <c r="C37" s="8" t="n">
        <v>25</v>
      </c>
      <c r="D37" s="8" t="s">
        <v>1792</v>
      </c>
      <c r="E37" s="8" t="s">
        <v>5</v>
      </c>
      <c r="F37" s="8" t="n">
        <v>0.3</v>
      </c>
      <c r="G37" s="8" t="s">
        <v>116</v>
      </c>
    </row>
    <row r="38" customFormat="false" ht="22.35" hidden="false" customHeight="false" outlineLevel="0" collapsed="false">
      <c r="A38" s="8" t="s">
        <v>115</v>
      </c>
      <c r="B38" s="8" t="s">
        <v>21</v>
      </c>
      <c r="C38" s="8" t="n">
        <v>26</v>
      </c>
      <c r="D38" s="8" t="s">
        <v>1793</v>
      </c>
      <c r="E38" s="8" t="s">
        <v>5</v>
      </c>
      <c r="F38" s="8" t="n">
        <v>0.1</v>
      </c>
      <c r="G38" s="8" t="s">
        <v>116</v>
      </c>
    </row>
    <row r="39" customFormat="false" ht="22.35" hidden="false" customHeight="false" outlineLevel="0" collapsed="false">
      <c r="A39" s="8" t="s">
        <v>115</v>
      </c>
      <c r="B39" s="8" t="s">
        <v>21</v>
      </c>
      <c r="C39" s="8" t="n">
        <v>27</v>
      </c>
      <c r="D39" s="8" t="s">
        <v>1794</v>
      </c>
      <c r="E39" s="8" t="s">
        <v>5</v>
      </c>
      <c r="F39" s="8" t="n">
        <v>6.5</v>
      </c>
      <c r="G39" s="8" t="s">
        <v>116</v>
      </c>
    </row>
    <row r="40" customFormat="false" ht="22.35" hidden="false" customHeight="false" outlineLevel="0" collapsed="false">
      <c r="A40" s="8" t="s">
        <v>115</v>
      </c>
      <c r="B40" s="8" t="s">
        <v>21</v>
      </c>
      <c r="C40" s="8" t="n">
        <v>28</v>
      </c>
      <c r="D40" s="8" t="s">
        <v>1795</v>
      </c>
      <c r="E40" s="8" t="s">
        <v>5</v>
      </c>
      <c r="F40" s="8" t="n">
        <v>0.3</v>
      </c>
      <c r="G40" s="8" t="s">
        <v>116</v>
      </c>
    </row>
    <row r="41" customFormat="false" ht="22.35" hidden="false" customHeight="false" outlineLevel="0" collapsed="false">
      <c r="A41" s="8" t="s">
        <v>115</v>
      </c>
      <c r="B41" s="8" t="s">
        <v>21</v>
      </c>
      <c r="C41" s="8" t="n">
        <v>29</v>
      </c>
      <c r="D41" s="8" t="s">
        <v>1796</v>
      </c>
      <c r="E41" s="8" t="s">
        <v>5</v>
      </c>
      <c r="F41" s="8" t="n">
        <v>0.2</v>
      </c>
      <c r="G41" s="8" t="s">
        <v>116</v>
      </c>
    </row>
    <row r="42" customFormat="false" ht="22.35" hidden="false" customHeight="false" outlineLevel="0" collapsed="false">
      <c r="A42" s="8" t="s">
        <v>115</v>
      </c>
      <c r="B42" s="8" t="s">
        <v>21</v>
      </c>
      <c r="C42" s="8" t="n">
        <v>30</v>
      </c>
      <c r="D42" s="8" t="s">
        <v>1797</v>
      </c>
      <c r="E42" s="8" t="s">
        <v>5</v>
      </c>
      <c r="F42" s="8" t="n">
        <v>0.7</v>
      </c>
      <c r="G42" s="8" t="s">
        <v>116</v>
      </c>
    </row>
    <row r="43" customFormat="false" ht="22.35" hidden="false" customHeight="false" outlineLevel="0" collapsed="false">
      <c r="A43" s="8" t="s">
        <v>115</v>
      </c>
      <c r="B43" s="8" t="s">
        <v>21</v>
      </c>
      <c r="C43" s="8" t="n">
        <v>31</v>
      </c>
      <c r="D43" s="8" t="s">
        <v>1798</v>
      </c>
      <c r="E43" s="8" t="s">
        <v>5</v>
      </c>
      <c r="F43" s="8" t="n">
        <v>0.5</v>
      </c>
      <c r="G43" s="8" t="s">
        <v>116</v>
      </c>
    </row>
    <row r="44" customFormat="false" ht="22.35" hidden="false" customHeight="false" outlineLevel="0" collapsed="false">
      <c r="A44" s="8" t="s">
        <v>115</v>
      </c>
      <c r="B44" s="8" t="s">
        <v>21</v>
      </c>
      <c r="C44" s="8" t="n">
        <v>32</v>
      </c>
      <c r="D44" s="8" t="s">
        <v>1799</v>
      </c>
      <c r="E44" s="8" t="s">
        <v>5</v>
      </c>
      <c r="F44" s="8" t="n">
        <v>0.3</v>
      </c>
      <c r="G44" s="8" t="s">
        <v>116</v>
      </c>
    </row>
    <row r="45" customFormat="false" ht="22.35" hidden="false" customHeight="false" outlineLevel="0" collapsed="false">
      <c r="A45" s="8" t="s">
        <v>115</v>
      </c>
      <c r="B45" s="8" t="s">
        <v>21</v>
      </c>
      <c r="C45" s="8" t="n">
        <v>33</v>
      </c>
      <c r="D45" s="8" t="s">
        <v>1800</v>
      </c>
      <c r="E45" s="8" t="s">
        <v>5</v>
      </c>
      <c r="F45" s="8" t="n">
        <v>13.5</v>
      </c>
      <c r="G45" s="8" t="s">
        <v>116</v>
      </c>
    </row>
    <row r="46" customFormat="false" ht="22.35" hidden="false" customHeight="false" outlineLevel="0" collapsed="false">
      <c r="A46" s="8" t="s">
        <v>115</v>
      </c>
      <c r="B46" s="8" t="s">
        <v>21</v>
      </c>
      <c r="C46" s="8" t="n">
        <v>34</v>
      </c>
      <c r="D46" s="8" t="s">
        <v>1801</v>
      </c>
      <c r="E46" s="8" t="s">
        <v>5</v>
      </c>
      <c r="F46" s="8" t="n">
        <v>0.4</v>
      </c>
      <c r="G46" s="8" t="s">
        <v>116</v>
      </c>
    </row>
    <row r="47" customFormat="false" ht="22.35" hidden="false" customHeight="false" outlineLevel="0" collapsed="false">
      <c r="A47" s="8" t="s">
        <v>115</v>
      </c>
      <c r="B47" s="8" t="s">
        <v>21</v>
      </c>
      <c r="C47" s="8" t="n">
        <v>35</v>
      </c>
      <c r="D47" s="8" t="s">
        <v>1802</v>
      </c>
      <c r="E47" s="8" t="s">
        <v>5</v>
      </c>
      <c r="F47" s="8" t="n">
        <v>3.7</v>
      </c>
      <c r="G47" s="8" t="s">
        <v>116</v>
      </c>
    </row>
    <row r="48" customFormat="false" ht="22.35" hidden="false" customHeight="false" outlineLevel="0" collapsed="false">
      <c r="A48" s="8" t="s">
        <v>115</v>
      </c>
      <c r="B48" s="8" t="s">
        <v>21</v>
      </c>
      <c r="C48" s="8" t="n">
        <v>36</v>
      </c>
      <c r="D48" s="8" t="s">
        <v>1803</v>
      </c>
      <c r="E48" s="8" t="s">
        <v>5</v>
      </c>
      <c r="F48" s="8" t="n">
        <v>2.2</v>
      </c>
      <c r="G48" s="8" t="s">
        <v>116</v>
      </c>
    </row>
    <row r="49" customFormat="false" ht="22.35" hidden="false" customHeight="false" outlineLevel="0" collapsed="false">
      <c r="A49" s="8" t="s">
        <v>115</v>
      </c>
      <c r="B49" s="8" t="s">
        <v>21</v>
      </c>
      <c r="C49" s="8" t="n">
        <v>37</v>
      </c>
      <c r="D49" s="8" t="s">
        <v>1804</v>
      </c>
      <c r="E49" s="8" t="s">
        <v>5</v>
      </c>
      <c r="F49" s="8" t="n">
        <v>2.2</v>
      </c>
      <c r="G49" s="8" t="s">
        <v>116</v>
      </c>
    </row>
    <row r="50" customFormat="false" ht="22.35" hidden="false" customHeight="false" outlineLevel="0" collapsed="false">
      <c r="A50" s="8" t="s">
        <v>115</v>
      </c>
      <c r="B50" s="8" t="s">
        <v>21</v>
      </c>
      <c r="C50" s="8" t="n">
        <v>38</v>
      </c>
      <c r="D50" s="8" t="s">
        <v>1805</v>
      </c>
      <c r="E50" s="8" t="s">
        <v>5</v>
      </c>
      <c r="F50" s="8" t="n">
        <v>12.6</v>
      </c>
      <c r="G50" s="8" t="s">
        <v>116</v>
      </c>
    </row>
    <row r="51" customFormat="false" ht="22.35" hidden="false" customHeight="false" outlineLevel="0" collapsed="false">
      <c r="A51" s="8" t="s">
        <v>348</v>
      </c>
      <c r="B51" s="8" t="s">
        <v>21</v>
      </c>
      <c r="C51" s="8" t="n">
        <v>1</v>
      </c>
      <c r="D51" s="8" t="s">
        <v>1806</v>
      </c>
      <c r="E51" s="8" t="s">
        <v>5</v>
      </c>
      <c r="F51" s="8" t="n">
        <v>1102.7</v>
      </c>
      <c r="G51" s="8" t="s">
        <v>116</v>
      </c>
    </row>
    <row r="52" customFormat="false" ht="22.35" hidden="false" customHeight="false" outlineLevel="0" collapsed="false">
      <c r="A52" s="8" t="s">
        <v>348</v>
      </c>
      <c r="B52" s="8" t="s">
        <v>21</v>
      </c>
      <c r="C52" s="8" t="n">
        <v>2</v>
      </c>
      <c r="D52" s="8" t="s">
        <v>1807</v>
      </c>
      <c r="E52" s="8" t="s">
        <v>5</v>
      </c>
      <c r="F52" s="8" t="n">
        <v>23.4</v>
      </c>
      <c r="G52" s="8" t="s">
        <v>116</v>
      </c>
    </row>
    <row r="53" customFormat="false" ht="22.35" hidden="false" customHeight="false" outlineLevel="0" collapsed="false">
      <c r="A53" s="8" t="s">
        <v>348</v>
      </c>
      <c r="B53" s="8" t="s">
        <v>21</v>
      </c>
      <c r="C53" s="8" t="n">
        <v>3</v>
      </c>
      <c r="D53" s="8" t="s">
        <v>1808</v>
      </c>
      <c r="E53" s="8" t="s">
        <v>5</v>
      </c>
      <c r="F53" s="8" t="n">
        <v>20.6</v>
      </c>
      <c r="G53" s="8" t="s">
        <v>116</v>
      </c>
    </row>
    <row r="54" customFormat="false" ht="22.35" hidden="false" customHeight="false" outlineLevel="0" collapsed="false">
      <c r="A54" s="8" t="s">
        <v>348</v>
      </c>
      <c r="B54" s="8" t="s">
        <v>21</v>
      </c>
      <c r="C54" s="8" t="n">
        <v>4</v>
      </c>
      <c r="D54" s="8" t="s">
        <v>1809</v>
      </c>
      <c r="E54" s="8" t="s">
        <v>5</v>
      </c>
      <c r="F54" s="8" t="n">
        <v>23.7</v>
      </c>
      <c r="G54" s="8" t="s">
        <v>116</v>
      </c>
    </row>
    <row r="55" customFormat="false" ht="22.35" hidden="false" customHeight="false" outlineLevel="0" collapsed="false">
      <c r="A55" s="8" t="s">
        <v>348</v>
      </c>
      <c r="B55" s="8" t="s">
        <v>21</v>
      </c>
      <c r="C55" s="8" t="n">
        <v>5</v>
      </c>
      <c r="D55" s="8" t="s">
        <v>1810</v>
      </c>
      <c r="E55" s="8" t="s">
        <v>5</v>
      </c>
      <c r="F55" s="8" t="n">
        <v>13.6</v>
      </c>
      <c r="G55" s="8" t="s">
        <v>116</v>
      </c>
    </row>
    <row r="56" customFormat="false" ht="22.35" hidden="false" customHeight="false" outlineLevel="0" collapsed="false">
      <c r="A56" s="8" t="s">
        <v>348</v>
      </c>
      <c r="B56" s="8" t="s">
        <v>21</v>
      </c>
      <c r="C56" s="8" t="n">
        <v>6</v>
      </c>
      <c r="D56" s="8" t="s">
        <v>1811</v>
      </c>
      <c r="E56" s="8" t="s">
        <v>5</v>
      </c>
      <c r="F56" s="8" t="n">
        <v>13.7</v>
      </c>
      <c r="G56" s="8" t="s">
        <v>116</v>
      </c>
    </row>
    <row r="57" customFormat="false" ht="22.35" hidden="false" customHeight="false" outlineLevel="0" collapsed="false">
      <c r="A57" s="8" t="s">
        <v>348</v>
      </c>
      <c r="B57" s="8" t="s">
        <v>21</v>
      </c>
      <c r="C57" s="8" t="n">
        <v>7</v>
      </c>
      <c r="D57" s="8" t="s">
        <v>1812</v>
      </c>
      <c r="E57" s="8" t="s">
        <v>5</v>
      </c>
      <c r="F57" s="8" t="n">
        <v>20.7</v>
      </c>
      <c r="G57" s="8" t="s">
        <v>116</v>
      </c>
    </row>
    <row r="58" customFormat="false" ht="22.35" hidden="false" customHeight="false" outlineLevel="0" collapsed="false">
      <c r="A58" s="8" t="s">
        <v>348</v>
      </c>
      <c r="B58" s="8" t="s">
        <v>21</v>
      </c>
      <c r="C58" s="8" t="n">
        <v>8</v>
      </c>
      <c r="D58" s="8" t="s">
        <v>1813</v>
      </c>
      <c r="E58" s="8" t="s">
        <v>5</v>
      </c>
      <c r="F58" s="8" t="n">
        <v>11.6</v>
      </c>
      <c r="G58" s="8" t="s">
        <v>116</v>
      </c>
    </row>
    <row r="59" customFormat="false" ht="22.35" hidden="false" customHeight="false" outlineLevel="0" collapsed="false">
      <c r="A59" s="8" t="s">
        <v>348</v>
      </c>
      <c r="B59" s="8" t="s">
        <v>21</v>
      </c>
      <c r="C59" s="8" t="n">
        <v>9</v>
      </c>
      <c r="D59" s="8" t="s">
        <v>1814</v>
      </c>
      <c r="E59" s="8" t="s">
        <v>5</v>
      </c>
      <c r="F59" s="8" t="n">
        <v>17.2</v>
      </c>
      <c r="G59" s="8" t="s">
        <v>116</v>
      </c>
    </row>
    <row r="60" customFormat="false" ht="22.35" hidden="false" customHeight="false" outlineLevel="0" collapsed="false">
      <c r="A60" s="8" t="s">
        <v>348</v>
      </c>
      <c r="B60" s="8" t="s">
        <v>21</v>
      </c>
      <c r="C60" s="8" t="n">
        <v>10</v>
      </c>
      <c r="D60" s="8" t="s">
        <v>1815</v>
      </c>
      <c r="E60" s="8" t="s">
        <v>5</v>
      </c>
      <c r="F60" s="8" t="n">
        <v>10.5</v>
      </c>
      <c r="G60" s="8" t="s">
        <v>116</v>
      </c>
    </row>
    <row r="61" customFormat="false" ht="22.35" hidden="false" customHeight="false" outlineLevel="0" collapsed="false">
      <c r="A61" s="8" t="s">
        <v>348</v>
      </c>
      <c r="B61" s="8" t="s">
        <v>21</v>
      </c>
      <c r="C61" s="8" t="n">
        <v>11</v>
      </c>
      <c r="D61" s="8" t="s">
        <v>1816</v>
      </c>
      <c r="E61" s="8" t="s">
        <v>5</v>
      </c>
      <c r="F61" s="8" t="n">
        <v>13.6</v>
      </c>
      <c r="G61" s="8" t="s">
        <v>116</v>
      </c>
    </row>
    <row r="62" customFormat="false" ht="22.35" hidden="false" customHeight="false" outlineLevel="0" collapsed="false">
      <c r="A62" s="8" t="s">
        <v>348</v>
      </c>
      <c r="B62" s="8" t="s">
        <v>21</v>
      </c>
      <c r="C62" s="8" t="n">
        <v>12</v>
      </c>
      <c r="D62" s="8" t="s">
        <v>1817</v>
      </c>
      <c r="E62" s="8" t="s">
        <v>5</v>
      </c>
      <c r="F62" s="8" t="n">
        <v>8.2</v>
      </c>
      <c r="G62" s="8" t="s">
        <v>116</v>
      </c>
    </row>
    <row r="63" customFormat="false" ht="22.35" hidden="false" customHeight="false" outlineLevel="0" collapsed="false">
      <c r="A63" s="8" t="s">
        <v>348</v>
      </c>
      <c r="B63" s="8" t="s">
        <v>21</v>
      </c>
      <c r="C63" s="8" t="n">
        <v>13</v>
      </c>
      <c r="D63" s="8" t="s">
        <v>1818</v>
      </c>
      <c r="E63" s="8" t="s">
        <v>5</v>
      </c>
      <c r="F63" s="8" t="n">
        <v>55.7</v>
      </c>
      <c r="G63" s="8" t="s">
        <v>116</v>
      </c>
    </row>
    <row r="64" customFormat="false" ht="22.35" hidden="false" customHeight="false" outlineLevel="0" collapsed="false">
      <c r="A64" s="8" t="s">
        <v>348</v>
      </c>
      <c r="B64" s="8" t="s">
        <v>21</v>
      </c>
      <c r="C64" s="8" t="n">
        <v>14</v>
      </c>
      <c r="D64" s="8" t="s">
        <v>1819</v>
      </c>
      <c r="E64" s="8" t="s">
        <v>5</v>
      </c>
      <c r="F64" s="8" t="n">
        <v>67.7</v>
      </c>
      <c r="G64" s="8" t="s">
        <v>116</v>
      </c>
    </row>
    <row r="65" customFormat="false" ht="22.35" hidden="false" customHeight="false" outlineLevel="0" collapsed="false">
      <c r="A65" s="8" t="s">
        <v>348</v>
      </c>
      <c r="B65" s="8" t="s">
        <v>21</v>
      </c>
      <c r="C65" s="8" t="n">
        <v>15</v>
      </c>
      <c r="D65" s="8" t="s">
        <v>1820</v>
      </c>
      <c r="E65" s="8" t="s">
        <v>5</v>
      </c>
      <c r="F65" s="8" t="n">
        <v>3</v>
      </c>
      <c r="G65" s="8" t="s">
        <v>116</v>
      </c>
    </row>
    <row r="66" customFormat="false" ht="22.35" hidden="false" customHeight="false" outlineLevel="0" collapsed="false">
      <c r="A66" s="8" t="s">
        <v>348</v>
      </c>
      <c r="B66" s="8" t="s">
        <v>21</v>
      </c>
      <c r="C66" s="8" t="n">
        <v>16</v>
      </c>
      <c r="D66" s="8" t="s">
        <v>1821</v>
      </c>
      <c r="E66" s="8" t="s">
        <v>5</v>
      </c>
      <c r="F66" s="8" t="n">
        <v>4.5</v>
      </c>
      <c r="G66" s="8" t="s">
        <v>116</v>
      </c>
    </row>
    <row r="67" customFormat="false" ht="22.35" hidden="false" customHeight="false" outlineLevel="0" collapsed="false">
      <c r="A67" s="8" t="s">
        <v>348</v>
      </c>
      <c r="B67" s="8" t="s">
        <v>21</v>
      </c>
      <c r="C67" s="8" t="n">
        <v>17</v>
      </c>
      <c r="D67" s="8" t="s">
        <v>1822</v>
      </c>
      <c r="E67" s="8" t="s">
        <v>5</v>
      </c>
      <c r="F67" s="8" t="n">
        <v>2.2</v>
      </c>
      <c r="G67" s="8" t="s">
        <v>116</v>
      </c>
    </row>
    <row r="68" customFormat="false" ht="22.35" hidden="false" customHeight="false" outlineLevel="0" collapsed="false">
      <c r="A68" s="8" t="s">
        <v>348</v>
      </c>
      <c r="B68" s="8" t="s">
        <v>21</v>
      </c>
      <c r="C68" s="8" t="n">
        <v>18</v>
      </c>
      <c r="D68" s="8" t="s">
        <v>1823</v>
      </c>
      <c r="E68" s="8" t="s">
        <v>5</v>
      </c>
      <c r="F68" s="8" t="n">
        <v>48.4</v>
      </c>
      <c r="G68" s="8" t="s">
        <v>116</v>
      </c>
    </row>
    <row r="69" customFormat="false" ht="22.35" hidden="false" customHeight="false" outlineLevel="0" collapsed="false">
      <c r="A69" s="8" t="s">
        <v>348</v>
      </c>
      <c r="B69" s="8" t="s">
        <v>21</v>
      </c>
      <c r="C69" s="8" t="n">
        <v>19</v>
      </c>
      <c r="D69" s="8" t="s">
        <v>1824</v>
      </c>
      <c r="E69" s="8" t="s">
        <v>5</v>
      </c>
      <c r="F69" s="8" t="n">
        <v>2.1</v>
      </c>
      <c r="G69" s="8" t="s">
        <v>116</v>
      </c>
    </row>
    <row r="70" customFormat="false" ht="22.35" hidden="false" customHeight="false" outlineLevel="0" collapsed="false">
      <c r="A70" s="8" t="s">
        <v>348</v>
      </c>
      <c r="B70" s="8" t="s">
        <v>21</v>
      </c>
      <c r="C70" s="8" t="n">
        <v>20</v>
      </c>
      <c r="D70" s="8" t="s">
        <v>1825</v>
      </c>
      <c r="E70" s="8" t="s">
        <v>5</v>
      </c>
      <c r="F70" s="8" t="n">
        <v>8.9</v>
      </c>
      <c r="G70" s="8" t="s">
        <v>116</v>
      </c>
    </row>
    <row r="71" customFormat="false" ht="22.35" hidden="false" customHeight="false" outlineLevel="0" collapsed="false">
      <c r="A71" s="8" t="s">
        <v>348</v>
      </c>
      <c r="B71" s="8" t="s">
        <v>21</v>
      </c>
      <c r="C71" s="8" t="n">
        <v>21</v>
      </c>
      <c r="D71" s="8" t="s">
        <v>1826</v>
      </c>
      <c r="E71" s="8" t="s">
        <v>5</v>
      </c>
      <c r="F71" s="8" t="n">
        <v>7.9</v>
      </c>
      <c r="G71" s="8" t="s">
        <v>116</v>
      </c>
    </row>
    <row r="72" customFormat="false" ht="22.35" hidden="false" customHeight="false" outlineLevel="0" collapsed="false">
      <c r="A72" s="8" t="s">
        <v>348</v>
      </c>
      <c r="B72" s="8" t="s">
        <v>21</v>
      </c>
      <c r="C72" s="8" t="n">
        <v>22</v>
      </c>
      <c r="D72" s="8" t="s">
        <v>1827</v>
      </c>
      <c r="E72" s="8" t="s">
        <v>5</v>
      </c>
      <c r="F72" s="8" t="n">
        <v>8.1</v>
      </c>
      <c r="G72" s="8" t="s">
        <v>116</v>
      </c>
    </row>
    <row r="73" customFormat="false" ht="22.35" hidden="false" customHeight="false" outlineLevel="0" collapsed="false">
      <c r="A73" s="8" t="s">
        <v>348</v>
      </c>
      <c r="B73" s="8" t="s">
        <v>21</v>
      </c>
      <c r="C73" s="8" t="n">
        <v>23</v>
      </c>
      <c r="D73" s="8" t="s">
        <v>1828</v>
      </c>
      <c r="E73" s="8" t="s">
        <v>5</v>
      </c>
      <c r="F73" s="8" t="n">
        <v>18.8</v>
      </c>
      <c r="G73" s="8" t="s">
        <v>116</v>
      </c>
    </row>
    <row r="74" customFormat="false" ht="22.35" hidden="false" customHeight="false" outlineLevel="0" collapsed="false">
      <c r="A74" s="8" t="s">
        <v>348</v>
      </c>
      <c r="B74" s="8" t="s">
        <v>21</v>
      </c>
      <c r="C74" s="8" t="n">
        <v>24</v>
      </c>
      <c r="D74" s="8" t="s">
        <v>1829</v>
      </c>
      <c r="E74" s="8" t="s">
        <v>5</v>
      </c>
      <c r="F74" s="8" t="n">
        <v>9.2</v>
      </c>
      <c r="G74" s="8" t="s">
        <v>116</v>
      </c>
    </row>
    <row r="75" customFormat="false" ht="22.35" hidden="false" customHeight="false" outlineLevel="0" collapsed="false">
      <c r="A75" s="8" t="s">
        <v>348</v>
      </c>
      <c r="B75" s="8" t="s">
        <v>21</v>
      </c>
      <c r="C75" s="8" t="n">
        <v>25</v>
      </c>
      <c r="D75" s="8" t="s">
        <v>1830</v>
      </c>
      <c r="E75" s="8" t="s">
        <v>5</v>
      </c>
      <c r="F75" s="8" t="n">
        <v>10.8</v>
      </c>
      <c r="G75" s="8" t="s">
        <v>116</v>
      </c>
    </row>
    <row r="76" customFormat="false" ht="22.35" hidden="false" customHeight="false" outlineLevel="0" collapsed="false">
      <c r="A76" s="8" t="s">
        <v>348</v>
      </c>
      <c r="B76" s="8" t="s">
        <v>21</v>
      </c>
      <c r="C76" s="8" t="n">
        <v>26</v>
      </c>
      <c r="D76" s="8" t="s">
        <v>1831</v>
      </c>
      <c r="E76" s="8" t="s">
        <v>5</v>
      </c>
      <c r="F76" s="8" t="n">
        <v>16.9</v>
      </c>
      <c r="G76" s="8" t="s">
        <v>116</v>
      </c>
    </row>
    <row r="77" customFormat="false" ht="22.35" hidden="false" customHeight="false" outlineLevel="0" collapsed="false">
      <c r="A77" s="8" t="s">
        <v>348</v>
      </c>
      <c r="B77" s="8" t="s">
        <v>21</v>
      </c>
      <c r="C77" s="8" t="n">
        <v>27</v>
      </c>
      <c r="D77" s="8" t="s">
        <v>1832</v>
      </c>
      <c r="E77" s="8" t="s">
        <v>5</v>
      </c>
      <c r="F77" s="8" t="n">
        <v>1.9</v>
      </c>
      <c r="G77" s="8" t="s">
        <v>116</v>
      </c>
    </row>
    <row r="78" customFormat="false" ht="22.35" hidden="false" customHeight="false" outlineLevel="0" collapsed="false">
      <c r="A78" s="8" t="s">
        <v>348</v>
      </c>
      <c r="B78" s="8" t="s">
        <v>21</v>
      </c>
      <c r="C78" s="8" t="n">
        <v>28</v>
      </c>
      <c r="D78" s="8" t="s">
        <v>1833</v>
      </c>
      <c r="E78" s="8" t="s">
        <v>5</v>
      </c>
      <c r="F78" s="8" t="n">
        <v>13</v>
      </c>
      <c r="G78" s="8" t="s">
        <v>116</v>
      </c>
    </row>
    <row r="79" customFormat="false" ht="22.35" hidden="false" customHeight="false" outlineLevel="0" collapsed="false">
      <c r="A79" s="8" t="s">
        <v>348</v>
      </c>
      <c r="B79" s="8" t="s">
        <v>21</v>
      </c>
      <c r="C79" s="8" t="n">
        <v>29</v>
      </c>
      <c r="D79" s="8" t="s">
        <v>1834</v>
      </c>
      <c r="E79" s="8" t="s">
        <v>5</v>
      </c>
      <c r="F79" s="8" t="n">
        <v>1.8</v>
      </c>
      <c r="G79" s="8" t="s">
        <v>116</v>
      </c>
    </row>
    <row r="80" customFormat="false" ht="22.35" hidden="false" customHeight="false" outlineLevel="0" collapsed="false">
      <c r="A80" s="8" t="s">
        <v>348</v>
      </c>
      <c r="B80" s="8" t="s">
        <v>21</v>
      </c>
      <c r="C80" s="8" t="n">
        <v>30</v>
      </c>
      <c r="D80" s="8" t="s">
        <v>1835</v>
      </c>
      <c r="E80" s="8" t="s">
        <v>5</v>
      </c>
      <c r="F80" s="8" t="n">
        <v>1.2</v>
      </c>
      <c r="G80" s="8" t="s">
        <v>116</v>
      </c>
    </row>
    <row r="81" customFormat="false" ht="22.35" hidden="false" customHeight="false" outlineLevel="0" collapsed="false">
      <c r="A81" s="8" t="s">
        <v>348</v>
      </c>
      <c r="B81" s="8" t="s">
        <v>21</v>
      </c>
      <c r="C81" s="8" t="n">
        <v>31</v>
      </c>
      <c r="D81" s="8" t="s">
        <v>1836</v>
      </c>
      <c r="E81" s="8" t="s">
        <v>5</v>
      </c>
      <c r="F81" s="8" t="n">
        <v>10.1</v>
      </c>
      <c r="G81" s="8" t="s">
        <v>116</v>
      </c>
    </row>
    <row r="82" customFormat="false" ht="22.35" hidden="false" customHeight="false" outlineLevel="0" collapsed="false">
      <c r="A82" s="8" t="s">
        <v>348</v>
      </c>
      <c r="B82" s="8" t="s">
        <v>21</v>
      </c>
      <c r="C82" s="8" t="n">
        <v>32</v>
      </c>
      <c r="D82" s="8" t="s">
        <v>1837</v>
      </c>
      <c r="E82" s="8" t="s">
        <v>5</v>
      </c>
      <c r="F82" s="8" t="n">
        <v>13.9</v>
      </c>
      <c r="G82" s="8" t="s">
        <v>116</v>
      </c>
    </row>
    <row r="83" customFormat="false" ht="22.35" hidden="false" customHeight="false" outlineLevel="0" collapsed="false">
      <c r="A83" s="8" t="s">
        <v>348</v>
      </c>
      <c r="B83" s="8" t="s">
        <v>21</v>
      </c>
      <c r="C83" s="8" t="n">
        <v>33</v>
      </c>
      <c r="D83" s="8" t="s">
        <v>1838</v>
      </c>
      <c r="E83" s="8" t="s">
        <v>5</v>
      </c>
      <c r="F83" s="8" t="n">
        <v>12.2</v>
      </c>
      <c r="G83" s="8" t="s">
        <v>116</v>
      </c>
    </row>
    <row r="84" customFormat="false" ht="22.35" hidden="false" customHeight="false" outlineLevel="0" collapsed="false">
      <c r="A84" s="8" t="s">
        <v>348</v>
      </c>
      <c r="B84" s="8" t="s">
        <v>21</v>
      </c>
      <c r="C84" s="8" t="n">
        <v>34</v>
      </c>
      <c r="D84" s="8" t="s">
        <v>1839</v>
      </c>
      <c r="E84" s="8" t="s">
        <v>5</v>
      </c>
      <c r="F84" s="8" t="n">
        <v>1.5</v>
      </c>
      <c r="G84" s="8" t="s">
        <v>116</v>
      </c>
    </row>
    <row r="85" customFormat="false" ht="22.35" hidden="false" customHeight="false" outlineLevel="0" collapsed="false">
      <c r="A85" s="8" t="s">
        <v>348</v>
      </c>
      <c r="B85" s="8" t="s">
        <v>21</v>
      </c>
      <c r="C85" s="8" t="n">
        <v>35</v>
      </c>
      <c r="D85" s="8" t="s">
        <v>1840</v>
      </c>
      <c r="E85" s="8" t="s">
        <v>5</v>
      </c>
      <c r="F85" s="8" t="n">
        <v>0.7</v>
      </c>
      <c r="G85" s="8" t="s">
        <v>116</v>
      </c>
    </row>
    <row r="86" customFormat="false" ht="22.35" hidden="false" customHeight="false" outlineLevel="0" collapsed="false">
      <c r="A86" s="8" t="s">
        <v>348</v>
      </c>
      <c r="B86" s="8" t="s">
        <v>21</v>
      </c>
      <c r="C86" s="8" t="n">
        <v>36</v>
      </c>
      <c r="D86" s="8" t="s">
        <v>1841</v>
      </c>
      <c r="E86" s="8" t="s">
        <v>5</v>
      </c>
      <c r="F86" s="8" t="n">
        <v>14.8</v>
      </c>
      <c r="G86" s="8" t="s">
        <v>116</v>
      </c>
    </row>
    <row r="87" customFormat="false" ht="22.35" hidden="false" customHeight="false" outlineLevel="0" collapsed="false">
      <c r="A87" s="8" t="s">
        <v>348</v>
      </c>
      <c r="B87" s="8" t="s">
        <v>21</v>
      </c>
      <c r="C87" s="8" t="n">
        <v>37</v>
      </c>
      <c r="D87" s="8" t="s">
        <v>1842</v>
      </c>
      <c r="E87" s="8" t="s">
        <v>5</v>
      </c>
      <c r="F87" s="8" t="n">
        <v>11.6</v>
      </c>
      <c r="G87" s="8" t="s">
        <v>116</v>
      </c>
    </row>
    <row r="88" customFormat="false" ht="22.35" hidden="false" customHeight="false" outlineLevel="0" collapsed="false">
      <c r="A88" s="8" t="s">
        <v>348</v>
      </c>
      <c r="B88" s="8" t="s">
        <v>21</v>
      </c>
      <c r="C88" s="8" t="n">
        <v>38</v>
      </c>
      <c r="D88" s="8" t="s">
        <v>1843</v>
      </c>
      <c r="E88" s="8" t="s">
        <v>5</v>
      </c>
      <c r="F88" s="8" t="n">
        <v>19.2</v>
      </c>
      <c r="G88" s="8" t="s">
        <v>116</v>
      </c>
    </row>
    <row r="89" customFormat="false" ht="22.35" hidden="false" customHeight="false" outlineLevel="0" collapsed="false">
      <c r="A89" s="8" t="s">
        <v>348</v>
      </c>
      <c r="B89" s="8" t="s">
        <v>21</v>
      </c>
      <c r="C89" s="8" t="n">
        <v>39</v>
      </c>
      <c r="D89" s="8" t="s">
        <v>1844</v>
      </c>
      <c r="E89" s="8" t="s">
        <v>5</v>
      </c>
      <c r="F89" s="8" t="n">
        <v>1</v>
      </c>
      <c r="G89" s="8" t="s">
        <v>116</v>
      </c>
    </row>
    <row r="90" customFormat="false" ht="22.35" hidden="false" customHeight="false" outlineLevel="0" collapsed="false">
      <c r="A90" s="8" t="s">
        <v>348</v>
      </c>
      <c r="B90" s="8" t="s">
        <v>21</v>
      </c>
      <c r="C90" s="8" t="n">
        <v>40</v>
      </c>
      <c r="D90" s="8" t="s">
        <v>1845</v>
      </c>
      <c r="E90" s="8" t="s">
        <v>5</v>
      </c>
      <c r="F90" s="8" t="n">
        <v>23.2</v>
      </c>
      <c r="G90" s="8" t="s">
        <v>116</v>
      </c>
    </row>
    <row r="91" customFormat="false" ht="22.35" hidden="false" customHeight="false" outlineLevel="0" collapsed="false">
      <c r="A91" s="8" t="s">
        <v>348</v>
      </c>
      <c r="B91" s="8" t="s">
        <v>21</v>
      </c>
      <c r="C91" s="8" t="n">
        <v>41</v>
      </c>
      <c r="D91" s="8" t="s">
        <v>1846</v>
      </c>
      <c r="E91" s="8" t="s">
        <v>5</v>
      </c>
      <c r="F91" s="8" t="n">
        <v>0.3</v>
      </c>
      <c r="G91" s="8" t="s">
        <v>116</v>
      </c>
    </row>
    <row r="92" customFormat="false" ht="22.35" hidden="false" customHeight="false" outlineLevel="0" collapsed="false">
      <c r="A92" s="8" t="s">
        <v>348</v>
      </c>
      <c r="B92" s="8" t="s">
        <v>21</v>
      </c>
      <c r="C92" s="8" t="n">
        <v>42</v>
      </c>
      <c r="D92" s="8" t="s">
        <v>1847</v>
      </c>
      <c r="E92" s="8" t="s">
        <v>5</v>
      </c>
      <c r="F92" s="8" t="n">
        <v>16.2</v>
      </c>
      <c r="G92" s="8" t="s">
        <v>116</v>
      </c>
    </row>
    <row r="93" customFormat="false" ht="22.35" hidden="false" customHeight="false" outlineLevel="0" collapsed="false">
      <c r="A93" s="8" t="s">
        <v>595</v>
      </c>
      <c r="B93" s="8" t="s">
        <v>21</v>
      </c>
      <c r="C93" s="8" t="n">
        <v>1</v>
      </c>
      <c r="D93" s="8" t="s">
        <v>1848</v>
      </c>
      <c r="E93" s="8" t="s">
        <v>5</v>
      </c>
      <c r="F93" s="8" t="n">
        <v>1130.2</v>
      </c>
      <c r="G93" s="8" t="s">
        <v>116</v>
      </c>
    </row>
    <row r="94" customFormat="false" ht="22.35" hidden="false" customHeight="false" outlineLevel="0" collapsed="false">
      <c r="A94" s="8" t="s">
        <v>595</v>
      </c>
      <c r="B94" s="8" t="s">
        <v>21</v>
      </c>
      <c r="C94" s="8" t="n">
        <v>2</v>
      </c>
      <c r="D94" s="8" t="s">
        <v>1849</v>
      </c>
      <c r="E94" s="8" t="s">
        <v>5</v>
      </c>
      <c r="F94" s="8" t="n">
        <v>6.2</v>
      </c>
      <c r="G94" s="8" t="s">
        <v>116</v>
      </c>
    </row>
    <row r="95" customFormat="false" ht="22.35" hidden="false" customHeight="false" outlineLevel="0" collapsed="false">
      <c r="A95" s="8" t="s">
        <v>595</v>
      </c>
      <c r="B95" s="8" t="s">
        <v>21</v>
      </c>
      <c r="C95" s="8" t="n">
        <v>3</v>
      </c>
      <c r="D95" s="8" t="s">
        <v>1850</v>
      </c>
      <c r="E95" s="8" t="s">
        <v>5</v>
      </c>
      <c r="F95" s="8" t="n">
        <v>2.9</v>
      </c>
      <c r="G95" s="8" t="s">
        <v>116</v>
      </c>
    </row>
    <row r="96" customFormat="false" ht="22.35" hidden="false" customHeight="false" outlineLevel="0" collapsed="false">
      <c r="A96" s="8" t="s">
        <v>595</v>
      </c>
      <c r="B96" s="8" t="s">
        <v>21</v>
      </c>
      <c r="C96" s="8" t="n">
        <v>4</v>
      </c>
      <c r="D96" s="8" t="s">
        <v>1851</v>
      </c>
      <c r="E96" s="8" t="s">
        <v>5</v>
      </c>
      <c r="F96" s="8" t="n">
        <v>6.6</v>
      </c>
      <c r="G96" s="8" t="s">
        <v>116</v>
      </c>
    </row>
    <row r="97" customFormat="false" ht="22.35" hidden="false" customHeight="false" outlineLevel="0" collapsed="false">
      <c r="A97" s="8" t="s">
        <v>595</v>
      </c>
      <c r="B97" s="8" t="s">
        <v>21</v>
      </c>
      <c r="C97" s="8" t="n">
        <v>5</v>
      </c>
      <c r="D97" s="8" t="s">
        <v>1852</v>
      </c>
      <c r="E97" s="8" t="s">
        <v>5</v>
      </c>
      <c r="F97" s="8" t="n">
        <v>7.3</v>
      </c>
      <c r="G97" s="8" t="s">
        <v>116</v>
      </c>
    </row>
    <row r="98" customFormat="false" ht="22.35" hidden="false" customHeight="false" outlineLevel="0" collapsed="false">
      <c r="A98" s="8" t="s">
        <v>595</v>
      </c>
      <c r="B98" s="8" t="s">
        <v>21</v>
      </c>
      <c r="C98" s="8" t="n">
        <v>6</v>
      </c>
      <c r="D98" s="8" t="s">
        <v>1853</v>
      </c>
      <c r="E98" s="8" t="s">
        <v>5</v>
      </c>
      <c r="F98" s="8" t="n">
        <v>2.1</v>
      </c>
      <c r="G98" s="8" t="s">
        <v>116</v>
      </c>
    </row>
    <row r="99" customFormat="false" ht="22.35" hidden="false" customHeight="false" outlineLevel="0" collapsed="false">
      <c r="A99" s="8" t="s">
        <v>595</v>
      </c>
      <c r="B99" s="8" t="s">
        <v>21</v>
      </c>
      <c r="C99" s="8" t="n">
        <v>7</v>
      </c>
      <c r="D99" s="8" t="s">
        <v>1854</v>
      </c>
      <c r="E99" s="8" t="s">
        <v>5</v>
      </c>
      <c r="F99" s="8" t="n">
        <v>47.9</v>
      </c>
      <c r="G99" s="8" t="s">
        <v>116</v>
      </c>
    </row>
    <row r="100" customFormat="false" ht="22.35" hidden="false" customHeight="false" outlineLevel="0" collapsed="false">
      <c r="A100" s="8" t="s">
        <v>595</v>
      </c>
      <c r="B100" s="8" t="s">
        <v>21</v>
      </c>
      <c r="C100" s="8" t="n">
        <v>8</v>
      </c>
      <c r="D100" s="8" t="s">
        <v>1855</v>
      </c>
      <c r="E100" s="8" t="s">
        <v>5</v>
      </c>
      <c r="F100" s="8" t="n">
        <v>6.1</v>
      </c>
      <c r="G100" s="8" t="s">
        <v>116</v>
      </c>
    </row>
    <row r="101" customFormat="false" ht="22.35" hidden="false" customHeight="false" outlineLevel="0" collapsed="false">
      <c r="A101" s="8" t="s">
        <v>595</v>
      </c>
      <c r="B101" s="8" t="s">
        <v>21</v>
      </c>
      <c r="C101" s="8" t="n">
        <v>9</v>
      </c>
      <c r="D101" s="8" t="s">
        <v>1856</v>
      </c>
      <c r="E101" s="8" t="s">
        <v>5</v>
      </c>
      <c r="F101" s="8" t="n">
        <v>10</v>
      </c>
      <c r="G101" s="8" t="s">
        <v>116</v>
      </c>
    </row>
    <row r="102" customFormat="false" ht="22.35" hidden="false" customHeight="false" outlineLevel="0" collapsed="false">
      <c r="A102" s="8" t="s">
        <v>595</v>
      </c>
      <c r="B102" s="8" t="s">
        <v>21</v>
      </c>
      <c r="C102" s="8" t="n">
        <v>10</v>
      </c>
      <c r="D102" s="8" t="s">
        <v>1857</v>
      </c>
      <c r="E102" s="8" t="s">
        <v>5</v>
      </c>
      <c r="F102" s="8" t="n">
        <v>1.9</v>
      </c>
      <c r="G102" s="8" t="s">
        <v>116</v>
      </c>
    </row>
    <row r="103" customFormat="false" ht="22.35" hidden="false" customHeight="false" outlineLevel="0" collapsed="false">
      <c r="A103" s="8" t="s">
        <v>595</v>
      </c>
      <c r="B103" s="8" t="s">
        <v>21</v>
      </c>
      <c r="C103" s="8" t="n">
        <v>11</v>
      </c>
      <c r="D103" s="8" t="s">
        <v>1858</v>
      </c>
      <c r="E103" s="8" t="s">
        <v>8</v>
      </c>
      <c r="F103" s="8" t="n">
        <v>0.1</v>
      </c>
      <c r="G103" s="8" t="s">
        <v>116</v>
      </c>
    </row>
    <row r="104" customFormat="false" ht="22.35" hidden="false" customHeight="false" outlineLevel="0" collapsed="false">
      <c r="A104" s="8" t="s">
        <v>595</v>
      </c>
      <c r="B104" s="8" t="s">
        <v>21</v>
      </c>
      <c r="C104" s="8" t="n">
        <v>12</v>
      </c>
      <c r="D104" s="8" t="s">
        <v>1859</v>
      </c>
      <c r="E104" s="8" t="s">
        <v>5</v>
      </c>
      <c r="F104" s="8" t="n">
        <v>5</v>
      </c>
      <c r="G104" s="8" t="s">
        <v>116</v>
      </c>
    </row>
    <row r="105" customFormat="false" ht="22.35" hidden="false" customHeight="false" outlineLevel="0" collapsed="false">
      <c r="A105" s="8" t="s">
        <v>595</v>
      </c>
      <c r="B105" s="8" t="s">
        <v>21</v>
      </c>
      <c r="C105" s="8" t="n">
        <v>13</v>
      </c>
      <c r="D105" s="8" t="s">
        <v>1860</v>
      </c>
      <c r="E105" s="8" t="s">
        <v>5</v>
      </c>
      <c r="F105" s="8" t="n">
        <v>2.6</v>
      </c>
      <c r="G105" s="8" t="s">
        <v>116</v>
      </c>
    </row>
    <row r="106" customFormat="false" ht="22.35" hidden="false" customHeight="false" outlineLevel="0" collapsed="false">
      <c r="A106" s="8" t="s">
        <v>595</v>
      </c>
      <c r="B106" s="8" t="s">
        <v>21</v>
      </c>
      <c r="C106" s="8" t="n">
        <v>14</v>
      </c>
      <c r="D106" s="8" t="s">
        <v>1861</v>
      </c>
      <c r="E106" s="8" t="s">
        <v>5</v>
      </c>
      <c r="F106" s="8" t="n">
        <v>21.9</v>
      </c>
      <c r="G106" s="8" t="s">
        <v>116</v>
      </c>
    </row>
    <row r="107" customFormat="false" ht="22.35" hidden="false" customHeight="false" outlineLevel="0" collapsed="false">
      <c r="A107" s="8" t="s">
        <v>595</v>
      </c>
      <c r="B107" s="8" t="s">
        <v>21</v>
      </c>
      <c r="C107" s="8" t="n">
        <v>15</v>
      </c>
      <c r="D107" s="8" t="s">
        <v>1862</v>
      </c>
      <c r="E107" s="8" t="s">
        <v>5</v>
      </c>
      <c r="F107" s="8" t="n">
        <v>99.1</v>
      </c>
      <c r="G107" s="8" t="s">
        <v>116</v>
      </c>
    </row>
    <row r="108" customFormat="false" ht="22.35" hidden="false" customHeight="false" outlineLevel="0" collapsed="false">
      <c r="A108" s="8" t="s">
        <v>595</v>
      </c>
      <c r="B108" s="8" t="s">
        <v>21</v>
      </c>
      <c r="C108" s="8" t="n">
        <v>16</v>
      </c>
      <c r="D108" s="8" t="s">
        <v>1863</v>
      </c>
      <c r="E108" s="8" t="s">
        <v>5</v>
      </c>
      <c r="F108" s="8" t="n">
        <v>3.8</v>
      </c>
      <c r="G108" s="8" t="s">
        <v>116</v>
      </c>
    </row>
    <row r="109" customFormat="false" ht="22.35" hidden="false" customHeight="false" outlineLevel="0" collapsed="false">
      <c r="A109" s="8" t="s">
        <v>595</v>
      </c>
      <c r="B109" s="8" t="s">
        <v>21</v>
      </c>
      <c r="C109" s="8" t="n">
        <v>17</v>
      </c>
      <c r="D109" s="8" t="s">
        <v>1864</v>
      </c>
      <c r="E109" s="8" t="s">
        <v>5</v>
      </c>
      <c r="F109" s="8" t="n">
        <v>2.4</v>
      </c>
      <c r="G109" s="8" t="s">
        <v>116</v>
      </c>
    </row>
    <row r="110" customFormat="false" ht="22.35" hidden="false" customHeight="false" outlineLevel="0" collapsed="false">
      <c r="A110" s="8" t="s">
        <v>595</v>
      </c>
      <c r="B110" s="8" t="s">
        <v>21</v>
      </c>
      <c r="C110" s="8" t="n">
        <v>18</v>
      </c>
      <c r="D110" s="8" t="s">
        <v>1865</v>
      </c>
      <c r="E110" s="8" t="s">
        <v>5</v>
      </c>
      <c r="F110" s="8" t="n">
        <v>23.4</v>
      </c>
      <c r="G110" s="8" t="s">
        <v>116</v>
      </c>
    </row>
    <row r="111" customFormat="false" ht="22.35" hidden="false" customHeight="false" outlineLevel="0" collapsed="false">
      <c r="A111" s="8" t="s">
        <v>595</v>
      </c>
      <c r="B111" s="8" t="s">
        <v>21</v>
      </c>
      <c r="C111" s="8" t="n">
        <v>19</v>
      </c>
      <c r="D111" s="8" t="s">
        <v>1866</v>
      </c>
      <c r="E111" s="8" t="s">
        <v>5</v>
      </c>
      <c r="F111" s="8" t="n">
        <v>5.9</v>
      </c>
      <c r="G111" s="8" t="s">
        <v>116</v>
      </c>
    </row>
    <row r="112" customFormat="false" ht="22.35" hidden="false" customHeight="false" outlineLevel="0" collapsed="false">
      <c r="A112" s="8" t="s">
        <v>595</v>
      </c>
      <c r="B112" s="8" t="s">
        <v>21</v>
      </c>
      <c r="C112" s="8" t="n">
        <v>20</v>
      </c>
      <c r="D112" s="8" t="s">
        <v>1867</v>
      </c>
      <c r="E112" s="8" t="s">
        <v>5</v>
      </c>
      <c r="F112" s="8" t="n">
        <v>78.7</v>
      </c>
      <c r="G112" s="8" t="s">
        <v>116</v>
      </c>
    </row>
    <row r="113" customFormat="false" ht="22.35" hidden="false" customHeight="false" outlineLevel="0" collapsed="false">
      <c r="A113" s="8" t="s">
        <v>595</v>
      </c>
      <c r="B113" s="8" t="s">
        <v>21</v>
      </c>
      <c r="C113" s="8" t="n">
        <v>21</v>
      </c>
      <c r="D113" s="8" t="s">
        <v>1868</v>
      </c>
      <c r="E113" s="8" t="s">
        <v>5</v>
      </c>
      <c r="F113" s="8" t="n">
        <v>10.4</v>
      </c>
      <c r="G113" s="8" t="s">
        <v>116</v>
      </c>
    </row>
    <row r="114" customFormat="false" ht="22.35" hidden="false" customHeight="false" outlineLevel="0" collapsed="false">
      <c r="A114" s="8" t="s">
        <v>595</v>
      </c>
      <c r="B114" s="8" t="s">
        <v>21</v>
      </c>
      <c r="C114" s="8" t="n">
        <v>22</v>
      </c>
      <c r="D114" s="8" t="s">
        <v>1869</v>
      </c>
      <c r="E114" s="8" t="s">
        <v>5</v>
      </c>
      <c r="F114" s="8" t="n">
        <v>67.5</v>
      </c>
      <c r="G114" s="8" t="s">
        <v>116</v>
      </c>
    </row>
    <row r="115" customFormat="false" ht="22.35" hidden="false" customHeight="false" outlineLevel="0" collapsed="false">
      <c r="A115" s="8" t="s">
        <v>595</v>
      </c>
      <c r="B115" s="8" t="s">
        <v>21</v>
      </c>
      <c r="C115" s="8" t="n">
        <v>23</v>
      </c>
      <c r="D115" s="8" t="s">
        <v>1870</v>
      </c>
      <c r="E115" s="8" t="s">
        <v>5</v>
      </c>
      <c r="F115" s="8" t="n">
        <v>2.8</v>
      </c>
      <c r="G115" s="8" t="s">
        <v>116</v>
      </c>
    </row>
    <row r="116" customFormat="false" ht="22.35" hidden="false" customHeight="false" outlineLevel="0" collapsed="false">
      <c r="A116" s="8" t="s">
        <v>595</v>
      </c>
      <c r="B116" s="8" t="s">
        <v>21</v>
      </c>
      <c r="C116" s="8" t="n">
        <v>24</v>
      </c>
      <c r="D116" s="8" t="s">
        <v>1871</v>
      </c>
      <c r="E116" s="8" t="s">
        <v>5</v>
      </c>
      <c r="F116" s="8" t="n">
        <v>2.7</v>
      </c>
      <c r="G116" s="8" t="s">
        <v>116</v>
      </c>
    </row>
    <row r="117" customFormat="false" ht="22.35" hidden="false" customHeight="false" outlineLevel="0" collapsed="false">
      <c r="A117" s="8" t="s">
        <v>595</v>
      </c>
      <c r="B117" s="8" t="s">
        <v>21</v>
      </c>
      <c r="C117" s="8" t="n">
        <v>25</v>
      </c>
      <c r="D117" s="8" t="s">
        <v>1872</v>
      </c>
      <c r="E117" s="8" t="s">
        <v>5</v>
      </c>
      <c r="F117" s="8" t="n">
        <v>10.4</v>
      </c>
      <c r="G117" s="8" t="s">
        <v>116</v>
      </c>
    </row>
    <row r="118" customFormat="false" ht="22.35" hidden="false" customHeight="false" outlineLevel="0" collapsed="false">
      <c r="A118" s="8" t="s">
        <v>595</v>
      </c>
      <c r="B118" s="8" t="s">
        <v>21</v>
      </c>
      <c r="C118" s="8" t="n">
        <v>26</v>
      </c>
      <c r="D118" s="8" t="s">
        <v>1873</v>
      </c>
      <c r="E118" s="8" t="s">
        <v>5</v>
      </c>
      <c r="F118" s="8" t="n">
        <v>2.4</v>
      </c>
      <c r="G118" s="8" t="s">
        <v>116</v>
      </c>
    </row>
    <row r="119" customFormat="false" ht="22.35" hidden="false" customHeight="false" outlineLevel="0" collapsed="false">
      <c r="A119" s="8" t="s">
        <v>595</v>
      </c>
      <c r="B119" s="8" t="s">
        <v>21</v>
      </c>
      <c r="C119" s="8" t="n">
        <v>27</v>
      </c>
      <c r="D119" s="8" t="s">
        <v>1874</v>
      </c>
      <c r="E119" s="8" t="s">
        <v>5</v>
      </c>
      <c r="F119" s="8" t="n">
        <v>56.4</v>
      </c>
      <c r="G119" s="8" t="s">
        <v>116</v>
      </c>
    </row>
    <row r="120" customFormat="false" ht="22.35" hidden="false" customHeight="false" outlineLevel="0" collapsed="false">
      <c r="A120" s="8" t="s">
        <v>595</v>
      </c>
      <c r="B120" s="8" t="s">
        <v>21</v>
      </c>
      <c r="C120" s="8" t="n">
        <v>28</v>
      </c>
      <c r="D120" s="8" t="s">
        <v>1875</v>
      </c>
      <c r="E120" s="8" t="s">
        <v>5</v>
      </c>
      <c r="F120" s="8" t="n">
        <v>3.4</v>
      </c>
      <c r="G120" s="8" t="s">
        <v>116</v>
      </c>
    </row>
    <row r="121" customFormat="false" ht="22.35" hidden="false" customHeight="false" outlineLevel="0" collapsed="false">
      <c r="A121" s="8" t="s">
        <v>595</v>
      </c>
      <c r="B121" s="8" t="s">
        <v>21</v>
      </c>
      <c r="C121" s="8" t="n">
        <v>29</v>
      </c>
      <c r="D121" s="8" t="s">
        <v>1876</v>
      </c>
      <c r="E121" s="8" t="s">
        <v>5</v>
      </c>
      <c r="F121" s="8" t="n">
        <v>4.6</v>
      </c>
      <c r="G121" s="8" t="s">
        <v>116</v>
      </c>
    </row>
    <row r="122" customFormat="false" ht="22.35" hidden="false" customHeight="false" outlineLevel="0" collapsed="false">
      <c r="A122" s="8" t="s">
        <v>595</v>
      </c>
      <c r="B122" s="8" t="s">
        <v>21</v>
      </c>
      <c r="C122" s="8" t="n">
        <v>30</v>
      </c>
      <c r="D122" s="8" t="s">
        <v>1877</v>
      </c>
      <c r="E122" s="8" t="s">
        <v>5</v>
      </c>
      <c r="F122" s="8" t="n">
        <v>3</v>
      </c>
      <c r="G122" s="8" t="s">
        <v>116</v>
      </c>
    </row>
    <row r="123" customFormat="false" ht="22.35" hidden="false" customHeight="false" outlineLevel="0" collapsed="false">
      <c r="A123" s="8" t="s">
        <v>595</v>
      </c>
      <c r="B123" s="8" t="s">
        <v>21</v>
      </c>
      <c r="C123" s="8" t="n">
        <v>31</v>
      </c>
      <c r="D123" s="8" t="s">
        <v>1878</v>
      </c>
      <c r="E123" s="8" t="s">
        <v>5</v>
      </c>
      <c r="F123" s="8" t="n">
        <v>66.3</v>
      </c>
      <c r="G123" s="8" t="s">
        <v>116</v>
      </c>
    </row>
    <row r="124" customFormat="false" ht="22.35" hidden="false" customHeight="false" outlineLevel="0" collapsed="false">
      <c r="A124" s="8" t="s">
        <v>595</v>
      </c>
      <c r="B124" s="8" t="s">
        <v>21</v>
      </c>
      <c r="C124" s="8" t="n">
        <v>32</v>
      </c>
      <c r="D124" s="8" t="s">
        <v>1879</v>
      </c>
      <c r="E124" s="8" t="s">
        <v>5</v>
      </c>
      <c r="F124" s="8" t="n">
        <v>95.4</v>
      </c>
      <c r="G124" s="8" t="s">
        <v>116</v>
      </c>
    </row>
    <row r="125" customFormat="false" ht="22.35" hidden="false" customHeight="false" outlineLevel="0" collapsed="false">
      <c r="A125" s="8" t="s">
        <v>595</v>
      </c>
      <c r="B125" s="8" t="s">
        <v>21</v>
      </c>
      <c r="C125" s="8" t="n">
        <v>33</v>
      </c>
      <c r="D125" s="8" t="s">
        <v>1880</v>
      </c>
      <c r="E125" s="8" t="s">
        <v>5</v>
      </c>
      <c r="F125" s="8" t="n">
        <v>314</v>
      </c>
      <c r="G125" s="8" t="s">
        <v>116</v>
      </c>
    </row>
    <row r="126" customFormat="false" ht="22.35" hidden="false" customHeight="false" outlineLevel="0" collapsed="false">
      <c r="A126" s="8" t="s">
        <v>595</v>
      </c>
      <c r="B126" s="8" t="s">
        <v>21</v>
      </c>
      <c r="C126" s="8" t="n">
        <v>34</v>
      </c>
      <c r="D126" s="8" t="s">
        <v>1881</v>
      </c>
      <c r="E126" s="8" t="s">
        <v>5</v>
      </c>
      <c r="F126" s="8" t="n">
        <v>100.8</v>
      </c>
      <c r="G126" s="8" t="s">
        <v>116</v>
      </c>
    </row>
    <row r="127" customFormat="false" ht="22.35" hidden="false" customHeight="false" outlineLevel="0" collapsed="false">
      <c r="A127" s="8" t="s">
        <v>595</v>
      </c>
      <c r="B127" s="8" t="s">
        <v>21</v>
      </c>
      <c r="C127" s="8" t="n">
        <v>35</v>
      </c>
      <c r="D127" s="8" t="s">
        <v>1882</v>
      </c>
      <c r="E127" s="8" t="s">
        <v>5</v>
      </c>
      <c r="F127" s="8" t="n">
        <v>3.1</v>
      </c>
      <c r="G127" s="8" t="s">
        <v>116</v>
      </c>
    </row>
    <row r="128" customFormat="false" ht="22.35" hidden="false" customHeight="false" outlineLevel="0" collapsed="false">
      <c r="A128" s="8" t="s">
        <v>595</v>
      </c>
      <c r="B128" s="8" t="s">
        <v>21</v>
      </c>
      <c r="C128" s="8" t="n">
        <v>36</v>
      </c>
      <c r="D128" s="8" t="s">
        <v>1883</v>
      </c>
      <c r="E128" s="8" t="s">
        <v>5</v>
      </c>
      <c r="F128" s="8" t="n">
        <v>14</v>
      </c>
      <c r="G128" s="8" t="s">
        <v>116</v>
      </c>
    </row>
    <row r="129" customFormat="false" ht="22.35" hidden="false" customHeight="false" outlineLevel="0" collapsed="false">
      <c r="A129" s="8" t="s">
        <v>595</v>
      </c>
      <c r="B129" s="8" t="s">
        <v>21</v>
      </c>
      <c r="C129" s="8" t="n">
        <v>37</v>
      </c>
      <c r="D129" s="8" t="s">
        <v>1884</v>
      </c>
      <c r="E129" s="8" t="s">
        <v>5</v>
      </c>
      <c r="F129" s="8" t="n">
        <v>52.5</v>
      </c>
      <c r="G129" s="8" t="s">
        <v>116</v>
      </c>
    </row>
    <row r="130" customFormat="false" ht="22.35" hidden="false" customHeight="false" outlineLevel="0" collapsed="false">
      <c r="A130" s="8" t="s">
        <v>595</v>
      </c>
      <c r="B130" s="8" t="s">
        <v>21</v>
      </c>
      <c r="C130" s="8" t="n">
        <v>38</v>
      </c>
      <c r="D130" s="8" t="s">
        <v>1885</v>
      </c>
      <c r="E130" s="8" t="s">
        <v>5</v>
      </c>
      <c r="F130" s="8" t="n">
        <v>0.3</v>
      </c>
      <c r="G130" s="8" t="s">
        <v>116</v>
      </c>
    </row>
    <row r="131" customFormat="false" ht="22.35" hidden="false" customHeight="false" outlineLevel="0" collapsed="false">
      <c r="A131" s="8" t="s">
        <v>595</v>
      </c>
      <c r="B131" s="8" t="s">
        <v>21</v>
      </c>
      <c r="C131" s="8" t="n">
        <v>39</v>
      </c>
      <c r="D131" s="8" t="s">
        <v>1886</v>
      </c>
      <c r="E131" s="8" t="s">
        <v>5</v>
      </c>
      <c r="F131" s="8" t="n">
        <v>54</v>
      </c>
      <c r="G131" s="8" t="s">
        <v>116</v>
      </c>
    </row>
    <row r="132" customFormat="false" ht="22.35" hidden="false" customHeight="false" outlineLevel="0" collapsed="false">
      <c r="A132" s="8" t="s">
        <v>595</v>
      </c>
      <c r="B132" s="8" t="s">
        <v>21</v>
      </c>
      <c r="C132" s="8" t="n">
        <v>40</v>
      </c>
      <c r="D132" s="8" t="s">
        <v>1887</v>
      </c>
      <c r="E132" s="8" t="s">
        <v>5</v>
      </c>
      <c r="F132" s="8" t="n">
        <v>53.1</v>
      </c>
      <c r="G132" s="8" t="s">
        <v>116</v>
      </c>
    </row>
    <row r="133" customFormat="false" ht="22.35" hidden="false" customHeight="false" outlineLevel="0" collapsed="false">
      <c r="A133" s="8" t="s">
        <v>595</v>
      </c>
      <c r="B133" s="8" t="s">
        <v>21</v>
      </c>
      <c r="C133" s="8" t="n">
        <v>41</v>
      </c>
      <c r="D133" s="8" t="s">
        <v>1888</v>
      </c>
      <c r="E133" s="8" t="s">
        <v>5</v>
      </c>
      <c r="F133" s="8" t="n">
        <v>2.9</v>
      </c>
      <c r="G133" s="8" t="s">
        <v>116</v>
      </c>
    </row>
    <row r="134" customFormat="false" ht="22.35" hidden="false" customHeight="false" outlineLevel="0" collapsed="false">
      <c r="A134" s="8" t="s">
        <v>595</v>
      </c>
      <c r="B134" s="8" t="s">
        <v>21</v>
      </c>
      <c r="C134" s="8" t="n">
        <v>42</v>
      </c>
      <c r="D134" s="8" t="s">
        <v>1889</v>
      </c>
      <c r="E134" s="8" t="s">
        <v>5</v>
      </c>
      <c r="F134" s="8" t="n">
        <v>3.2</v>
      </c>
      <c r="G134" s="8" t="s">
        <v>116</v>
      </c>
    </row>
    <row r="135" customFormat="false" ht="22.35" hidden="false" customHeight="false" outlineLevel="0" collapsed="false">
      <c r="A135" s="8" t="s">
        <v>595</v>
      </c>
      <c r="B135" s="8" t="s">
        <v>21</v>
      </c>
      <c r="C135" s="8" t="n">
        <v>43</v>
      </c>
      <c r="D135" s="8" t="s">
        <v>1890</v>
      </c>
      <c r="E135" s="8" t="s">
        <v>8</v>
      </c>
      <c r="F135" s="8" t="n">
        <v>0.2</v>
      </c>
      <c r="G135" s="8" t="s">
        <v>116</v>
      </c>
    </row>
    <row r="136" customFormat="false" ht="22.35" hidden="false" customHeight="false" outlineLevel="0" collapsed="false">
      <c r="A136" s="8" t="s">
        <v>595</v>
      </c>
      <c r="B136" s="8" t="s">
        <v>21</v>
      </c>
      <c r="C136" s="8" t="n">
        <v>44</v>
      </c>
      <c r="D136" s="8" t="s">
        <v>1891</v>
      </c>
      <c r="E136" s="8" t="s">
        <v>8</v>
      </c>
      <c r="F136" s="8" t="n">
        <v>0.1</v>
      </c>
      <c r="G136" s="8" t="s">
        <v>116</v>
      </c>
    </row>
    <row r="137" customFormat="false" ht="15" hidden="false" customHeight="false" outlineLevel="0" collapsed="false">
      <c r="A137" s="8" t="s">
        <v>1055</v>
      </c>
      <c r="B137" s="8" t="s">
        <v>17</v>
      </c>
      <c r="C137" s="8" t="n">
        <v>1</v>
      </c>
      <c r="D137" s="8" t="s">
        <v>1892</v>
      </c>
      <c r="E137" s="8" t="s">
        <v>5</v>
      </c>
      <c r="F137" s="8" t="n">
        <v>996.7</v>
      </c>
      <c r="G137" s="8" t="s">
        <v>116</v>
      </c>
    </row>
    <row r="138" customFormat="false" ht="15" hidden="false" customHeight="false" outlineLevel="0" collapsed="false">
      <c r="A138" s="8" t="s">
        <v>1055</v>
      </c>
      <c r="B138" s="8" t="s">
        <v>17</v>
      </c>
      <c r="C138" s="8" t="n">
        <v>2</v>
      </c>
      <c r="D138" s="8" t="s">
        <v>1893</v>
      </c>
      <c r="E138" s="8" t="s">
        <v>5</v>
      </c>
      <c r="F138" s="8" t="n">
        <v>2025.3</v>
      </c>
      <c r="G138" s="8" t="s">
        <v>116</v>
      </c>
    </row>
    <row r="139" customFormat="false" ht="15" hidden="false" customHeight="false" outlineLevel="0" collapsed="false">
      <c r="A139" s="8" t="s">
        <v>1055</v>
      </c>
      <c r="B139" s="8" t="s">
        <v>17</v>
      </c>
      <c r="C139" s="8" t="n">
        <v>3</v>
      </c>
      <c r="D139" s="8" t="s">
        <v>1894</v>
      </c>
      <c r="E139" s="8" t="s">
        <v>5</v>
      </c>
      <c r="F139" s="8" t="n">
        <v>185.9</v>
      </c>
      <c r="G139" s="8" t="s">
        <v>116</v>
      </c>
    </row>
    <row r="140" customFormat="false" ht="15" hidden="false" customHeight="false" outlineLevel="0" collapsed="false">
      <c r="A140" s="8" t="s">
        <v>1055</v>
      </c>
      <c r="B140" s="8" t="s">
        <v>17</v>
      </c>
      <c r="C140" s="8" t="n">
        <v>4</v>
      </c>
      <c r="D140" s="8" t="s">
        <v>1895</v>
      </c>
      <c r="E140" s="8" t="s">
        <v>5</v>
      </c>
      <c r="F140" s="8" t="n">
        <v>1.3</v>
      </c>
      <c r="G140" s="8" t="s">
        <v>116</v>
      </c>
    </row>
    <row r="141" customFormat="false" ht="15" hidden="false" customHeight="false" outlineLevel="0" collapsed="false">
      <c r="A141" s="8" t="s">
        <v>1055</v>
      </c>
      <c r="B141" s="8" t="s">
        <v>17</v>
      </c>
      <c r="C141" s="8" t="n">
        <v>5</v>
      </c>
      <c r="D141" s="8" t="s">
        <v>1896</v>
      </c>
      <c r="E141" s="8" t="s">
        <v>5</v>
      </c>
      <c r="F141" s="8" t="n">
        <v>63.6</v>
      </c>
      <c r="G141" s="8" t="s">
        <v>116</v>
      </c>
    </row>
    <row r="142" customFormat="false" ht="15" hidden="false" customHeight="false" outlineLevel="0" collapsed="false">
      <c r="A142" s="8" t="s">
        <v>1055</v>
      </c>
      <c r="B142" s="8" t="s">
        <v>17</v>
      </c>
      <c r="C142" s="8" t="n">
        <v>6</v>
      </c>
      <c r="D142" s="8" t="s">
        <v>1897</v>
      </c>
      <c r="E142" s="8" t="s">
        <v>5</v>
      </c>
      <c r="F142" s="8" t="n">
        <v>21.1</v>
      </c>
      <c r="G142" s="8" t="s">
        <v>116</v>
      </c>
    </row>
    <row r="143" customFormat="false" ht="15" hidden="false" customHeight="false" outlineLevel="0" collapsed="false">
      <c r="A143" s="8" t="s">
        <v>1055</v>
      </c>
      <c r="B143" s="8" t="s">
        <v>17</v>
      </c>
      <c r="C143" s="8" t="n">
        <v>7</v>
      </c>
      <c r="D143" s="8" t="s">
        <v>1898</v>
      </c>
      <c r="E143" s="8" t="s">
        <v>5</v>
      </c>
      <c r="F143" s="8" t="n">
        <v>12.5</v>
      </c>
      <c r="G143" s="8" t="s">
        <v>116</v>
      </c>
    </row>
    <row r="144" customFormat="false" ht="15" hidden="false" customHeight="false" outlineLevel="0" collapsed="false">
      <c r="A144" s="8" t="s">
        <v>1038</v>
      </c>
      <c r="B144" s="8" t="s">
        <v>17</v>
      </c>
      <c r="C144" s="8" t="n">
        <v>1</v>
      </c>
      <c r="D144" s="8" t="s">
        <v>1899</v>
      </c>
      <c r="E144" s="8" t="s">
        <v>5</v>
      </c>
      <c r="F144" s="8" t="n">
        <v>1063</v>
      </c>
      <c r="G144" s="8" t="s">
        <v>116</v>
      </c>
    </row>
    <row r="145" customFormat="false" ht="15" hidden="false" customHeight="false" outlineLevel="0" collapsed="false">
      <c r="A145" s="8" t="s">
        <v>1038</v>
      </c>
      <c r="B145" s="8" t="s">
        <v>17</v>
      </c>
      <c r="C145" s="8" t="n">
        <v>2</v>
      </c>
      <c r="D145" s="8" t="s">
        <v>1900</v>
      </c>
      <c r="E145" s="8" t="s">
        <v>5</v>
      </c>
      <c r="F145" s="8" t="n">
        <v>54</v>
      </c>
      <c r="G145" s="8" t="s">
        <v>116</v>
      </c>
    </row>
    <row r="146" customFormat="false" ht="15" hidden="false" customHeight="false" outlineLevel="0" collapsed="false">
      <c r="A146" s="8" t="s">
        <v>1038</v>
      </c>
      <c r="B146" s="8" t="s">
        <v>17</v>
      </c>
      <c r="C146" s="8" t="n">
        <v>3</v>
      </c>
      <c r="D146" s="8" t="s">
        <v>1901</v>
      </c>
      <c r="E146" s="8" t="s">
        <v>5</v>
      </c>
      <c r="F146" s="8" t="n">
        <v>14.9</v>
      </c>
      <c r="G146" s="8" t="s">
        <v>116</v>
      </c>
    </row>
    <row r="147" customFormat="false" ht="15" hidden="false" customHeight="false" outlineLevel="0" collapsed="false">
      <c r="A147" s="8" t="s">
        <v>1038</v>
      </c>
      <c r="B147" s="8" t="s">
        <v>17</v>
      </c>
      <c r="C147" s="8" t="n">
        <v>4</v>
      </c>
      <c r="D147" s="8" t="s">
        <v>1902</v>
      </c>
      <c r="E147" s="8" t="s">
        <v>5</v>
      </c>
      <c r="F147" s="8" t="n">
        <v>67.3</v>
      </c>
      <c r="G147" s="8" t="s">
        <v>116</v>
      </c>
    </row>
    <row r="148" customFormat="false" ht="15" hidden="false" customHeight="false" outlineLevel="0" collapsed="false">
      <c r="A148" s="8" t="s">
        <v>1038</v>
      </c>
      <c r="B148" s="8" t="s">
        <v>17</v>
      </c>
      <c r="C148" s="8" t="n">
        <v>5</v>
      </c>
      <c r="D148" s="8" t="s">
        <v>1903</v>
      </c>
      <c r="E148" s="8" t="s">
        <v>5</v>
      </c>
      <c r="F148" s="8" t="n">
        <v>7.6</v>
      </c>
      <c r="G148" s="8" t="s">
        <v>116</v>
      </c>
    </row>
    <row r="149" customFormat="false" ht="15" hidden="false" customHeight="false" outlineLevel="0" collapsed="false">
      <c r="A149" s="8" t="s">
        <v>1038</v>
      </c>
      <c r="B149" s="8" t="s">
        <v>17</v>
      </c>
      <c r="C149" s="8" t="n">
        <v>6</v>
      </c>
      <c r="D149" s="8" t="s">
        <v>1904</v>
      </c>
      <c r="E149" s="8" t="s">
        <v>5</v>
      </c>
      <c r="F149" s="8" t="n">
        <v>52.3</v>
      </c>
      <c r="G149" s="8" t="s">
        <v>116</v>
      </c>
    </row>
    <row r="150" customFormat="false" ht="15" hidden="false" customHeight="false" outlineLevel="0" collapsed="false">
      <c r="A150" s="8" t="s">
        <v>1274</v>
      </c>
      <c r="B150" s="8" t="s">
        <v>17</v>
      </c>
      <c r="C150" s="8" t="n">
        <v>1</v>
      </c>
      <c r="D150" s="8" t="s">
        <v>1905</v>
      </c>
      <c r="E150" s="8" t="s">
        <v>5</v>
      </c>
      <c r="F150" s="8" t="n">
        <v>998.3</v>
      </c>
      <c r="G150" s="8" t="s">
        <v>116</v>
      </c>
    </row>
    <row r="151" customFormat="false" ht="22.35" hidden="false" customHeight="false" outlineLevel="0" collapsed="false">
      <c r="A151" s="8" t="s">
        <v>1274</v>
      </c>
      <c r="B151" s="8" t="s">
        <v>17</v>
      </c>
      <c r="C151" s="8" t="n">
        <v>2</v>
      </c>
      <c r="D151" s="8" t="s">
        <v>1906</v>
      </c>
      <c r="E151" s="8" t="s">
        <v>5</v>
      </c>
      <c r="F151" s="8" t="n">
        <v>22</v>
      </c>
      <c r="G151" s="8" t="s">
        <v>116</v>
      </c>
    </row>
    <row r="152" customFormat="false" ht="15" hidden="false" customHeight="false" outlineLevel="0" collapsed="false">
      <c r="A152" s="8" t="s">
        <v>1274</v>
      </c>
      <c r="B152" s="8" t="s">
        <v>17</v>
      </c>
      <c r="C152" s="8" t="n">
        <v>3</v>
      </c>
      <c r="D152" s="8" t="s">
        <v>1907</v>
      </c>
      <c r="E152" s="8" t="s">
        <v>5</v>
      </c>
      <c r="F152" s="8" t="n">
        <v>1.3</v>
      </c>
      <c r="G152" s="8" t="s">
        <v>116</v>
      </c>
    </row>
    <row r="153" customFormat="false" ht="15" hidden="false" customHeight="false" outlineLevel="0" collapsed="false">
      <c r="A153" s="8" t="s">
        <v>1274</v>
      </c>
      <c r="B153" s="8" t="s">
        <v>17</v>
      </c>
      <c r="C153" s="8" t="n">
        <v>4</v>
      </c>
      <c r="D153" s="8" t="s">
        <v>1908</v>
      </c>
      <c r="E153" s="8" t="s">
        <v>5</v>
      </c>
      <c r="F153" s="8" t="n">
        <v>9.7</v>
      </c>
      <c r="G153" s="8" t="s">
        <v>116</v>
      </c>
    </row>
    <row r="154" customFormat="false" ht="15" hidden="false" customHeight="false" outlineLevel="0" collapsed="false">
      <c r="A154" s="8" t="s">
        <v>1274</v>
      </c>
      <c r="B154" s="8" t="s">
        <v>17</v>
      </c>
      <c r="C154" s="8" t="n">
        <v>5</v>
      </c>
      <c r="D154" s="8" t="s">
        <v>1909</v>
      </c>
      <c r="E154" s="8" t="s">
        <v>5</v>
      </c>
      <c r="F154" s="8" t="n">
        <v>9.2</v>
      </c>
      <c r="G154" s="8" t="s">
        <v>116</v>
      </c>
    </row>
    <row r="155" customFormat="false" ht="15" hidden="false" customHeight="false" outlineLevel="0" collapsed="false">
      <c r="A155" s="8" t="s">
        <v>1274</v>
      </c>
      <c r="B155" s="8" t="s">
        <v>17</v>
      </c>
      <c r="C155" s="8" t="n">
        <v>6</v>
      </c>
      <c r="D155" s="8" t="s">
        <v>1910</v>
      </c>
      <c r="E155" s="8" t="s">
        <v>5</v>
      </c>
      <c r="F155" s="8" t="n">
        <v>9.4</v>
      </c>
      <c r="G155" s="8" t="s">
        <v>116</v>
      </c>
    </row>
    <row r="156" customFormat="false" ht="22.35" hidden="false" customHeight="false" outlineLevel="0" collapsed="false">
      <c r="A156" s="8" t="s">
        <v>1274</v>
      </c>
      <c r="B156" s="8" t="s">
        <v>17</v>
      </c>
      <c r="C156" s="8" t="n">
        <v>7</v>
      </c>
      <c r="D156" s="8" t="s">
        <v>1911</v>
      </c>
      <c r="E156" s="8" t="s">
        <v>5</v>
      </c>
      <c r="F156" s="8" t="n">
        <v>9.3</v>
      </c>
      <c r="G156" s="8" t="s">
        <v>116</v>
      </c>
    </row>
    <row r="157" customFormat="false" ht="15" hidden="false" customHeight="false" outlineLevel="0" collapsed="false">
      <c r="A157" s="8" t="s">
        <v>1274</v>
      </c>
      <c r="B157" s="8" t="s">
        <v>17</v>
      </c>
      <c r="C157" s="8" t="n">
        <v>8</v>
      </c>
      <c r="D157" s="8" t="s">
        <v>1912</v>
      </c>
      <c r="E157" s="8" t="s">
        <v>5</v>
      </c>
      <c r="F157" s="8" t="n">
        <v>0.6</v>
      </c>
      <c r="G157" s="8" t="s">
        <v>116</v>
      </c>
    </row>
    <row r="158" customFormat="false" ht="15" hidden="false" customHeight="false" outlineLevel="0" collapsed="false">
      <c r="A158" s="8" t="s">
        <v>1913</v>
      </c>
      <c r="B158" s="8" t="s">
        <v>20</v>
      </c>
      <c r="C158" s="8" t="n">
        <v>1</v>
      </c>
      <c r="D158" s="8" t="s">
        <v>1914</v>
      </c>
      <c r="E158" s="8" t="s">
        <v>5</v>
      </c>
      <c r="F158" s="8" t="n">
        <v>4475.3</v>
      </c>
      <c r="G158" s="8" t="s">
        <v>116</v>
      </c>
    </row>
    <row r="159" customFormat="false" ht="15" hidden="false" customHeight="false" outlineLevel="0" collapsed="false">
      <c r="A159" s="8" t="s">
        <v>1913</v>
      </c>
      <c r="B159" s="8" t="s">
        <v>20</v>
      </c>
      <c r="C159" s="8" t="n">
        <v>2</v>
      </c>
      <c r="D159" s="8" t="s">
        <v>1915</v>
      </c>
      <c r="E159" s="8" t="s">
        <v>5</v>
      </c>
      <c r="F159" s="8" t="n">
        <v>48.7</v>
      </c>
      <c r="G159" s="8" t="s">
        <v>116</v>
      </c>
    </row>
    <row r="160" customFormat="false" ht="15" hidden="false" customHeight="false" outlineLevel="0" collapsed="false">
      <c r="A160" s="8" t="s">
        <v>1913</v>
      </c>
      <c r="B160" s="8" t="s">
        <v>20</v>
      </c>
      <c r="C160" s="8" t="n">
        <v>3</v>
      </c>
      <c r="D160" s="8" t="s">
        <v>1916</v>
      </c>
      <c r="E160" s="8" t="s">
        <v>5</v>
      </c>
      <c r="F160" s="8" t="n">
        <v>26.1</v>
      </c>
      <c r="G160" s="8" t="s">
        <v>116</v>
      </c>
    </row>
    <row r="161" customFormat="false" ht="15" hidden="false" customHeight="false" outlineLevel="0" collapsed="false">
      <c r="A161" s="8" t="s">
        <v>1913</v>
      </c>
      <c r="B161" s="8" t="s">
        <v>20</v>
      </c>
      <c r="C161" s="8" t="n">
        <v>4</v>
      </c>
      <c r="D161" s="8" t="s">
        <v>1917</v>
      </c>
      <c r="E161" s="8" t="s">
        <v>5</v>
      </c>
      <c r="F161" s="8" t="n">
        <v>6.9</v>
      </c>
      <c r="G161" s="8" t="s">
        <v>116</v>
      </c>
    </row>
    <row r="162" customFormat="false" ht="15" hidden="false" customHeight="false" outlineLevel="0" collapsed="false">
      <c r="A162" s="8" t="s">
        <v>1913</v>
      </c>
      <c r="B162" s="8" t="s">
        <v>20</v>
      </c>
      <c r="C162" s="8" t="n">
        <v>5</v>
      </c>
      <c r="D162" s="8" t="s">
        <v>1918</v>
      </c>
      <c r="E162" s="8" t="s">
        <v>5</v>
      </c>
      <c r="F162" s="8" t="n">
        <v>12.8</v>
      </c>
      <c r="G162" s="8" t="s">
        <v>116</v>
      </c>
    </row>
    <row r="163" customFormat="false" ht="15" hidden="false" customHeight="false" outlineLevel="0" collapsed="false">
      <c r="A163" s="8" t="s">
        <v>1913</v>
      </c>
      <c r="B163" s="8" t="s">
        <v>20</v>
      </c>
      <c r="C163" s="8" t="n">
        <v>6</v>
      </c>
      <c r="D163" s="8" t="s">
        <v>1919</v>
      </c>
      <c r="E163" s="8" t="s">
        <v>5</v>
      </c>
      <c r="F163" s="8" t="n">
        <v>2</v>
      </c>
      <c r="G163" s="8" t="s">
        <v>116</v>
      </c>
    </row>
    <row r="164" customFormat="false" ht="15" hidden="false" customHeight="false" outlineLevel="0" collapsed="false">
      <c r="A164" s="8" t="s">
        <v>1913</v>
      </c>
      <c r="B164" s="8" t="s">
        <v>20</v>
      </c>
      <c r="C164" s="8" t="n">
        <v>7</v>
      </c>
      <c r="D164" s="8" t="s">
        <v>1920</v>
      </c>
      <c r="E164" s="8" t="s">
        <v>5</v>
      </c>
      <c r="F164" s="8" t="n">
        <v>24.8</v>
      </c>
      <c r="G164" s="8" t="s">
        <v>116</v>
      </c>
    </row>
    <row r="165" customFormat="false" ht="15" hidden="false" customHeight="false" outlineLevel="0" collapsed="false">
      <c r="A165" s="8" t="s">
        <v>1913</v>
      </c>
      <c r="B165" s="8" t="s">
        <v>20</v>
      </c>
      <c r="C165" s="8" t="n">
        <v>8</v>
      </c>
      <c r="D165" s="8" t="s">
        <v>1921</v>
      </c>
      <c r="E165" s="8" t="s">
        <v>5</v>
      </c>
      <c r="F165" s="8" t="n">
        <v>92.9</v>
      </c>
      <c r="G165" s="8" t="s">
        <v>116</v>
      </c>
    </row>
    <row r="166" customFormat="false" ht="15" hidden="false" customHeight="false" outlineLevel="0" collapsed="false">
      <c r="A166" s="8" t="s">
        <v>892</v>
      </c>
      <c r="B166" s="8" t="s">
        <v>19</v>
      </c>
      <c r="C166" s="8" t="n">
        <v>1</v>
      </c>
      <c r="D166" s="8" t="s">
        <v>1922</v>
      </c>
      <c r="E166" s="8" t="s">
        <v>5</v>
      </c>
      <c r="F166" s="8" t="n">
        <v>1154.7</v>
      </c>
      <c r="G166" s="8" t="s">
        <v>116</v>
      </c>
    </row>
    <row r="167" customFormat="false" ht="15" hidden="false" customHeight="false" outlineLevel="0" collapsed="false">
      <c r="A167" s="8" t="s">
        <v>892</v>
      </c>
      <c r="B167" s="8" t="s">
        <v>19</v>
      </c>
      <c r="C167" s="8" t="n">
        <v>2</v>
      </c>
      <c r="D167" s="8" t="s">
        <v>1923</v>
      </c>
      <c r="E167" s="8" t="s">
        <v>5</v>
      </c>
      <c r="F167" s="8" t="n">
        <v>62.5</v>
      </c>
      <c r="G167" s="8" t="s">
        <v>116</v>
      </c>
    </row>
    <row r="168" customFormat="false" ht="15" hidden="false" customHeight="false" outlineLevel="0" collapsed="false">
      <c r="A168" s="8" t="s">
        <v>892</v>
      </c>
      <c r="B168" s="8" t="s">
        <v>19</v>
      </c>
      <c r="C168" s="8" t="n">
        <v>3</v>
      </c>
      <c r="D168" s="8" t="s">
        <v>1924</v>
      </c>
      <c r="E168" s="8" t="s">
        <v>5</v>
      </c>
      <c r="F168" s="8" t="n">
        <v>112.7</v>
      </c>
      <c r="G168" s="8" t="s">
        <v>116</v>
      </c>
    </row>
    <row r="169" customFormat="false" ht="15" hidden="false" customHeight="false" outlineLevel="0" collapsed="false">
      <c r="A169" s="8" t="s">
        <v>892</v>
      </c>
      <c r="B169" s="8" t="s">
        <v>19</v>
      </c>
      <c r="C169" s="8" t="n">
        <v>4</v>
      </c>
      <c r="D169" s="8" t="s">
        <v>1925</v>
      </c>
      <c r="E169" s="8" t="s">
        <v>5</v>
      </c>
      <c r="F169" s="8" t="n">
        <v>58</v>
      </c>
      <c r="G169" s="8" t="s">
        <v>116</v>
      </c>
    </row>
    <row r="170" customFormat="false" ht="15" hidden="false" customHeight="false" outlineLevel="0" collapsed="false">
      <c r="A170" s="8" t="s">
        <v>892</v>
      </c>
      <c r="B170" s="8" t="s">
        <v>19</v>
      </c>
      <c r="C170" s="8" t="n">
        <v>5</v>
      </c>
      <c r="D170" s="8" t="s">
        <v>1926</v>
      </c>
      <c r="E170" s="8" t="s">
        <v>5</v>
      </c>
      <c r="F170" s="8" t="n">
        <v>413.8</v>
      </c>
      <c r="G170" s="8" t="s">
        <v>116</v>
      </c>
    </row>
    <row r="171" customFormat="false" ht="15" hidden="false" customHeight="false" outlineLevel="0" collapsed="false">
      <c r="A171" s="8" t="s">
        <v>892</v>
      </c>
      <c r="B171" s="8" t="s">
        <v>19</v>
      </c>
      <c r="C171" s="8" t="n">
        <v>6</v>
      </c>
      <c r="D171" s="8" t="s">
        <v>1927</v>
      </c>
      <c r="E171" s="8" t="s">
        <v>5</v>
      </c>
      <c r="F171" s="8" t="n">
        <v>1142.1</v>
      </c>
      <c r="G171" s="8" t="s">
        <v>116</v>
      </c>
    </row>
    <row r="172" customFormat="false" ht="15" hidden="false" customHeight="false" outlineLevel="0" collapsed="false">
      <c r="A172" s="8" t="s">
        <v>892</v>
      </c>
      <c r="B172" s="8" t="s">
        <v>19</v>
      </c>
      <c r="C172" s="8" t="n">
        <v>7</v>
      </c>
      <c r="D172" s="8" t="s">
        <v>1928</v>
      </c>
      <c r="E172" s="8" t="s">
        <v>5</v>
      </c>
      <c r="F172" s="8" t="n">
        <v>8.4</v>
      </c>
      <c r="G172" s="8" t="s">
        <v>116</v>
      </c>
    </row>
    <row r="173" customFormat="false" ht="15" hidden="false" customHeight="false" outlineLevel="0" collapsed="false">
      <c r="A173" s="8" t="s">
        <v>892</v>
      </c>
      <c r="B173" s="8" t="s">
        <v>19</v>
      </c>
      <c r="C173" s="8" t="n">
        <v>8</v>
      </c>
      <c r="D173" s="8" t="s">
        <v>1929</v>
      </c>
      <c r="E173" s="8" t="s">
        <v>5</v>
      </c>
      <c r="F173" s="8" t="n">
        <v>22.7</v>
      </c>
      <c r="G173" s="8" t="s">
        <v>116</v>
      </c>
    </row>
    <row r="174" customFormat="false" ht="15" hidden="false" customHeight="false" outlineLevel="0" collapsed="false">
      <c r="A174" s="8" t="s">
        <v>892</v>
      </c>
      <c r="B174" s="8" t="s">
        <v>19</v>
      </c>
      <c r="C174" s="8" t="n">
        <v>9</v>
      </c>
      <c r="D174" s="8" t="s">
        <v>1930</v>
      </c>
      <c r="E174" s="8" t="s">
        <v>5</v>
      </c>
      <c r="F174" s="8" t="n">
        <v>1223.1</v>
      </c>
      <c r="G174" s="8" t="s">
        <v>116</v>
      </c>
    </row>
    <row r="175" customFormat="false" ht="15" hidden="false" customHeight="false" outlineLevel="0" collapsed="false">
      <c r="A175" s="8" t="s">
        <v>892</v>
      </c>
      <c r="B175" s="8" t="s">
        <v>19</v>
      </c>
      <c r="C175" s="8" t="n">
        <v>10</v>
      </c>
      <c r="D175" s="8" t="s">
        <v>1931</v>
      </c>
      <c r="E175" s="8" t="s">
        <v>5</v>
      </c>
      <c r="F175" s="8" t="n">
        <v>9.4</v>
      </c>
      <c r="G175" s="8" t="s">
        <v>116</v>
      </c>
    </row>
    <row r="176" customFormat="false" ht="15" hidden="false" customHeight="false" outlineLevel="0" collapsed="false">
      <c r="A176" s="8" t="s">
        <v>892</v>
      </c>
      <c r="B176" s="8" t="s">
        <v>19</v>
      </c>
      <c r="C176" s="8" t="n">
        <v>11</v>
      </c>
      <c r="D176" s="8" t="s">
        <v>1932</v>
      </c>
      <c r="E176" s="8" t="s">
        <v>5</v>
      </c>
      <c r="F176" s="8" t="n">
        <v>1.5</v>
      </c>
      <c r="G176" s="8" t="s">
        <v>116</v>
      </c>
    </row>
    <row r="177" customFormat="false" ht="15" hidden="false" customHeight="false" outlineLevel="0" collapsed="false">
      <c r="A177" s="8" t="s">
        <v>892</v>
      </c>
      <c r="B177" s="8" t="s">
        <v>19</v>
      </c>
      <c r="C177" s="8" t="n">
        <v>12</v>
      </c>
      <c r="D177" s="8" t="s">
        <v>1933</v>
      </c>
      <c r="E177" s="8" t="s">
        <v>5</v>
      </c>
      <c r="F177" s="8" t="n">
        <v>0.4</v>
      </c>
      <c r="G177" s="8" t="s">
        <v>116</v>
      </c>
    </row>
    <row r="178" customFormat="false" ht="15" hidden="false" customHeight="false" outlineLevel="0" collapsed="false">
      <c r="A178" s="8" t="s">
        <v>1934</v>
      </c>
      <c r="B178" s="8" t="s">
        <v>16</v>
      </c>
      <c r="C178" s="8" t="n">
        <v>1</v>
      </c>
      <c r="D178" s="8" t="s">
        <v>1935</v>
      </c>
      <c r="E178" s="8" t="s">
        <v>5</v>
      </c>
      <c r="F178" s="8" t="n">
        <v>2.3</v>
      </c>
      <c r="G178" s="8" t="s">
        <v>116</v>
      </c>
    </row>
    <row r="179" customFormat="false" ht="15" hidden="false" customHeight="false" outlineLevel="0" collapsed="false">
      <c r="A179" s="8" t="s">
        <v>1934</v>
      </c>
      <c r="B179" s="8" t="s">
        <v>16</v>
      </c>
      <c r="C179" s="8" t="n">
        <v>2</v>
      </c>
      <c r="D179" s="8" t="s">
        <v>1936</v>
      </c>
      <c r="E179" s="8" t="s">
        <v>5</v>
      </c>
      <c r="F179" s="8" t="n">
        <v>0.3</v>
      </c>
      <c r="G179" s="8" t="s">
        <v>116</v>
      </c>
    </row>
    <row r="180" customFormat="false" ht="15" hidden="false" customHeight="false" outlineLevel="0" collapsed="false">
      <c r="A180" s="8" t="s">
        <v>1934</v>
      </c>
      <c r="B180" s="8" t="s">
        <v>16</v>
      </c>
      <c r="C180" s="8" t="n">
        <v>3</v>
      </c>
      <c r="D180" s="8" t="s">
        <v>1937</v>
      </c>
      <c r="E180" s="8" t="s">
        <v>5</v>
      </c>
      <c r="F180" s="8" t="n">
        <v>0.8</v>
      </c>
      <c r="G180" s="8" t="s">
        <v>116</v>
      </c>
    </row>
    <row r="181" customFormat="false" ht="15" hidden="false" customHeight="false" outlineLevel="0" collapsed="false">
      <c r="A181" s="8" t="s">
        <v>1378</v>
      </c>
      <c r="B181" s="8" t="s">
        <v>16</v>
      </c>
      <c r="C181" s="8" t="n">
        <v>1</v>
      </c>
      <c r="D181" s="8" t="s">
        <v>1938</v>
      </c>
      <c r="E181" s="8" t="s">
        <v>5</v>
      </c>
      <c r="F181" s="8" t="n">
        <v>3</v>
      </c>
      <c r="G181" s="8" t="s">
        <v>116</v>
      </c>
    </row>
    <row r="182" customFormat="false" ht="15" hidden="false" customHeight="false" outlineLevel="0" collapsed="false">
      <c r="A182" s="8" t="s">
        <v>1378</v>
      </c>
      <c r="B182" s="8" t="s">
        <v>16</v>
      </c>
      <c r="C182" s="8" t="n">
        <v>2</v>
      </c>
      <c r="D182" s="8" t="s">
        <v>1939</v>
      </c>
      <c r="E182" s="8" t="s">
        <v>5</v>
      </c>
      <c r="F182" s="8" t="n">
        <v>0.3</v>
      </c>
      <c r="G182" s="8" t="s">
        <v>116</v>
      </c>
    </row>
    <row r="183" customFormat="false" ht="15" hidden="false" customHeight="false" outlineLevel="0" collapsed="false">
      <c r="A183" s="8" t="s">
        <v>1378</v>
      </c>
      <c r="B183" s="8" t="s">
        <v>16</v>
      </c>
      <c r="C183" s="8" t="n">
        <v>3</v>
      </c>
      <c r="D183" s="8" t="s">
        <v>1940</v>
      </c>
      <c r="E183" s="8" t="s">
        <v>5</v>
      </c>
      <c r="F183" s="8" t="n">
        <v>0.8</v>
      </c>
      <c r="G183" s="8" t="s">
        <v>116</v>
      </c>
    </row>
    <row r="184" customFormat="false" ht="15" hidden="false" customHeight="false" outlineLevel="0" collapsed="false">
      <c r="A184" s="8" t="s">
        <v>1378</v>
      </c>
      <c r="B184" s="8" t="s">
        <v>16</v>
      </c>
      <c r="C184" s="8" t="n">
        <v>4</v>
      </c>
      <c r="D184" s="8" t="s">
        <v>1941</v>
      </c>
      <c r="E184" s="8" t="s">
        <v>5</v>
      </c>
      <c r="F184" s="8" t="n">
        <v>0.3</v>
      </c>
      <c r="G184" s="8" t="s">
        <v>116</v>
      </c>
    </row>
    <row r="185" customFormat="false" ht="15" hidden="false" customHeight="false" outlineLevel="0" collapsed="false">
      <c r="A185" s="8" t="s">
        <v>1378</v>
      </c>
      <c r="B185" s="8" t="s">
        <v>16</v>
      </c>
      <c r="C185" s="8" t="n">
        <v>5</v>
      </c>
      <c r="D185" s="8" t="s">
        <v>1942</v>
      </c>
      <c r="E185" s="8" t="s">
        <v>5</v>
      </c>
      <c r="F185" s="8" t="n">
        <v>0.7</v>
      </c>
      <c r="G185" s="8" t="s">
        <v>116</v>
      </c>
    </row>
    <row r="186" customFormat="false" ht="15" hidden="false" customHeight="false" outlineLevel="0" collapsed="false">
      <c r="A186" s="8" t="s">
        <v>1608</v>
      </c>
      <c r="B186" s="8" t="s">
        <v>16</v>
      </c>
      <c r="C186" s="8" t="n">
        <v>1</v>
      </c>
      <c r="D186" s="8" t="s">
        <v>1943</v>
      </c>
      <c r="E186" s="8" t="s">
        <v>5</v>
      </c>
      <c r="F186" s="8" t="n">
        <v>4.1</v>
      </c>
      <c r="G186" s="8" t="s">
        <v>116</v>
      </c>
    </row>
    <row r="187" customFormat="false" ht="15" hidden="false" customHeight="false" outlineLevel="0" collapsed="false">
      <c r="A187" s="8" t="s">
        <v>1608</v>
      </c>
      <c r="B187" s="8" t="s">
        <v>16</v>
      </c>
      <c r="C187" s="8" t="n">
        <v>2</v>
      </c>
      <c r="D187" s="8" t="s">
        <v>1944</v>
      </c>
      <c r="E187" s="8" t="s">
        <v>5</v>
      </c>
      <c r="F187" s="8" t="n">
        <v>142.6</v>
      </c>
      <c r="G187" s="8" t="s">
        <v>116</v>
      </c>
    </row>
    <row r="188" customFormat="false" ht="15" hidden="false" customHeight="false" outlineLevel="0" collapsed="false">
      <c r="A188" s="8" t="s">
        <v>1608</v>
      </c>
      <c r="B188" s="8" t="s">
        <v>16</v>
      </c>
      <c r="C188" s="8" t="n">
        <v>3</v>
      </c>
      <c r="D188" s="8" t="s">
        <v>1945</v>
      </c>
      <c r="E188" s="8" t="s">
        <v>5</v>
      </c>
      <c r="F188" s="8" t="n">
        <v>2</v>
      </c>
      <c r="G188" s="8" t="s">
        <v>116</v>
      </c>
    </row>
    <row r="189" customFormat="false" ht="15" hidden="false" customHeight="false" outlineLevel="0" collapsed="false">
      <c r="A189" s="8" t="s">
        <v>1608</v>
      </c>
      <c r="B189" s="8" t="s">
        <v>16</v>
      </c>
      <c r="C189" s="8" t="n">
        <v>4</v>
      </c>
      <c r="D189" s="8" t="s">
        <v>1946</v>
      </c>
      <c r="E189" s="8" t="s">
        <v>5</v>
      </c>
      <c r="F189" s="8" t="n">
        <v>1.2</v>
      </c>
      <c r="G189" s="8" t="s">
        <v>116</v>
      </c>
    </row>
    <row r="190" customFormat="false" ht="15" hidden="false" customHeight="false" outlineLevel="0" collapsed="false">
      <c r="A190" s="8" t="s">
        <v>1608</v>
      </c>
      <c r="B190" s="8" t="s">
        <v>16</v>
      </c>
      <c r="C190" s="8" t="n">
        <v>5</v>
      </c>
      <c r="D190" s="8" t="s">
        <v>1947</v>
      </c>
      <c r="E190" s="8" t="s">
        <v>5</v>
      </c>
      <c r="F190" s="8" t="n">
        <v>1.4</v>
      </c>
      <c r="G190" s="8" t="s">
        <v>116</v>
      </c>
    </row>
    <row r="191" customFormat="false" ht="15" hidden="false" customHeight="false" outlineLevel="0" collapsed="false">
      <c r="A191" s="8" t="s">
        <v>1608</v>
      </c>
      <c r="B191" s="8" t="s">
        <v>16</v>
      </c>
      <c r="C191" s="8" t="n">
        <v>6</v>
      </c>
      <c r="D191" s="8" t="s">
        <v>1948</v>
      </c>
      <c r="E191" s="8" t="s">
        <v>5</v>
      </c>
      <c r="F191" s="8" t="n">
        <v>65.7</v>
      </c>
      <c r="G191" s="8" t="s">
        <v>116</v>
      </c>
    </row>
    <row r="192" customFormat="false" ht="15" hidden="false" customHeight="false" outlineLevel="0" collapsed="false">
      <c r="A192" s="8" t="s">
        <v>1608</v>
      </c>
      <c r="B192" s="8" t="s">
        <v>16</v>
      </c>
      <c r="C192" s="8" t="n">
        <v>7</v>
      </c>
      <c r="D192" s="8" t="s">
        <v>1949</v>
      </c>
      <c r="E192" s="8" t="s">
        <v>5</v>
      </c>
      <c r="F192" s="8" t="n">
        <v>2.4</v>
      </c>
      <c r="G192" s="8" t="s">
        <v>116</v>
      </c>
    </row>
    <row r="193" customFormat="false" ht="15" hidden="false" customHeight="false" outlineLevel="0" collapsed="false">
      <c r="A193" s="8" t="s">
        <v>1608</v>
      </c>
      <c r="B193" s="8" t="s">
        <v>16</v>
      </c>
      <c r="C193" s="8" t="n">
        <v>8</v>
      </c>
      <c r="D193" s="8" t="s">
        <v>1950</v>
      </c>
      <c r="E193" s="8" t="s">
        <v>5</v>
      </c>
      <c r="F193" s="8" t="n">
        <v>2</v>
      </c>
      <c r="G193" s="8" t="s">
        <v>116</v>
      </c>
    </row>
    <row r="194" customFormat="false" ht="15" hidden="false" customHeight="false" outlineLevel="0" collapsed="false">
      <c r="A194" s="8" t="s">
        <v>1608</v>
      </c>
      <c r="B194" s="8" t="s">
        <v>16</v>
      </c>
      <c r="C194" s="8" t="n">
        <v>9</v>
      </c>
      <c r="D194" s="8" t="s">
        <v>1951</v>
      </c>
      <c r="E194" s="8" t="s">
        <v>5</v>
      </c>
      <c r="F194" s="8" t="n">
        <v>28.1</v>
      </c>
      <c r="G194" s="8" t="s">
        <v>116</v>
      </c>
    </row>
    <row r="195" customFormat="false" ht="15" hidden="false" customHeight="false" outlineLevel="0" collapsed="false">
      <c r="A195" s="8" t="s">
        <v>1608</v>
      </c>
      <c r="B195" s="8" t="s">
        <v>16</v>
      </c>
      <c r="C195" s="8" t="n">
        <v>10</v>
      </c>
      <c r="D195" s="8" t="s">
        <v>1952</v>
      </c>
      <c r="E195" s="8" t="s">
        <v>5</v>
      </c>
      <c r="F195" s="8" t="n">
        <v>1.2</v>
      </c>
      <c r="G195" s="8" t="s">
        <v>116</v>
      </c>
    </row>
    <row r="196" customFormat="false" ht="15" hidden="false" customHeight="false" outlineLevel="0" collapsed="false">
      <c r="A196" s="8" t="s">
        <v>1087</v>
      </c>
      <c r="B196" s="8" t="s">
        <v>16</v>
      </c>
      <c r="C196" s="8" t="n">
        <v>1</v>
      </c>
      <c r="D196" s="8" t="s">
        <v>1953</v>
      </c>
      <c r="E196" s="8" t="s">
        <v>5</v>
      </c>
      <c r="F196" s="8" t="n">
        <v>12.2</v>
      </c>
      <c r="G196" s="8" t="s">
        <v>116</v>
      </c>
    </row>
    <row r="197" customFormat="false" ht="15" hidden="false" customHeight="false" outlineLevel="0" collapsed="false">
      <c r="A197" s="8" t="s">
        <v>1087</v>
      </c>
      <c r="B197" s="8" t="s">
        <v>16</v>
      </c>
      <c r="C197" s="8" t="n">
        <v>2</v>
      </c>
      <c r="D197" s="8" t="s">
        <v>1954</v>
      </c>
      <c r="E197" s="8" t="s">
        <v>5</v>
      </c>
      <c r="F197" s="8" t="n">
        <v>1.4</v>
      </c>
      <c r="G197" s="8" t="s">
        <v>116</v>
      </c>
    </row>
    <row r="198" customFormat="false" ht="15" hidden="false" customHeight="false" outlineLevel="0" collapsed="false">
      <c r="A198" s="8" t="s">
        <v>1087</v>
      </c>
      <c r="B198" s="8" t="s">
        <v>16</v>
      </c>
      <c r="C198" s="8" t="n">
        <v>3</v>
      </c>
      <c r="D198" s="8" t="s">
        <v>1955</v>
      </c>
      <c r="E198" s="8" t="s">
        <v>5</v>
      </c>
      <c r="F198" s="8" t="n">
        <v>42.8</v>
      </c>
      <c r="G198" s="8" t="s">
        <v>116</v>
      </c>
    </row>
    <row r="199" customFormat="false" ht="15" hidden="false" customHeight="false" outlineLevel="0" collapsed="false">
      <c r="A199" s="8" t="s">
        <v>1087</v>
      </c>
      <c r="B199" s="8" t="s">
        <v>16</v>
      </c>
      <c r="C199" s="8" t="n">
        <v>4</v>
      </c>
      <c r="D199" s="8" t="s">
        <v>1956</v>
      </c>
      <c r="E199" s="8" t="s">
        <v>5</v>
      </c>
      <c r="F199" s="8" t="n">
        <v>1.6</v>
      </c>
      <c r="G199" s="8" t="s">
        <v>116</v>
      </c>
    </row>
    <row r="200" customFormat="false" ht="15" hidden="false" customHeight="false" outlineLevel="0" collapsed="false">
      <c r="A200" s="8" t="s">
        <v>1087</v>
      </c>
      <c r="B200" s="8" t="s">
        <v>16</v>
      </c>
      <c r="C200" s="8" t="n">
        <v>5</v>
      </c>
      <c r="D200" s="8" t="s">
        <v>1957</v>
      </c>
      <c r="E200" s="8" t="s">
        <v>5</v>
      </c>
      <c r="F200" s="8" t="n">
        <v>0.5</v>
      </c>
      <c r="G200" s="8" t="s">
        <v>116</v>
      </c>
    </row>
    <row r="201" customFormat="false" ht="15" hidden="false" customHeight="false" outlineLevel="0" collapsed="false">
      <c r="A201" s="8" t="s">
        <v>1087</v>
      </c>
      <c r="B201" s="8" t="s">
        <v>16</v>
      </c>
      <c r="C201" s="8" t="n">
        <v>6</v>
      </c>
      <c r="D201" s="8" t="s">
        <v>1958</v>
      </c>
      <c r="E201" s="8" t="s">
        <v>5</v>
      </c>
      <c r="F201" s="8" t="n">
        <v>2.7</v>
      </c>
      <c r="G201" s="8" t="s">
        <v>116</v>
      </c>
    </row>
    <row r="202" customFormat="false" ht="15" hidden="false" customHeight="false" outlineLevel="0" collapsed="false">
      <c r="A202" s="8" t="s">
        <v>1087</v>
      </c>
      <c r="B202" s="8" t="s">
        <v>16</v>
      </c>
      <c r="C202" s="8" t="n">
        <v>7</v>
      </c>
      <c r="D202" s="8" t="s">
        <v>1959</v>
      </c>
      <c r="E202" s="8" t="s">
        <v>5</v>
      </c>
      <c r="F202" s="8" t="n">
        <v>4.2</v>
      </c>
      <c r="G202" s="8" t="s">
        <v>116</v>
      </c>
    </row>
    <row r="203" customFormat="false" ht="15" hidden="false" customHeight="false" outlineLevel="0" collapsed="false">
      <c r="A203" s="8" t="s">
        <v>1087</v>
      </c>
      <c r="B203" s="8" t="s">
        <v>16</v>
      </c>
      <c r="C203" s="8" t="n">
        <v>8</v>
      </c>
      <c r="D203" s="8" t="s">
        <v>1960</v>
      </c>
      <c r="E203" s="8" t="s">
        <v>5</v>
      </c>
      <c r="F203" s="8" t="n">
        <v>1.9</v>
      </c>
      <c r="G203" s="8" t="s">
        <v>116</v>
      </c>
    </row>
    <row r="204" customFormat="false" ht="15" hidden="false" customHeight="false" outlineLevel="0" collapsed="false">
      <c r="A204" s="8" t="s">
        <v>1087</v>
      </c>
      <c r="B204" s="8" t="s">
        <v>16</v>
      </c>
      <c r="C204" s="8" t="n">
        <v>9</v>
      </c>
      <c r="D204" s="8" t="s">
        <v>1961</v>
      </c>
      <c r="E204" s="8" t="s">
        <v>5</v>
      </c>
      <c r="F204" s="8" t="n">
        <v>0.7</v>
      </c>
      <c r="G204" s="8" t="s">
        <v>116</v>
      </c>
    </row>
    <row r="205" customFormat="false" ht="15" hidden="false" customHeight="false" outlineLevel="0" collapsed="false">
      <c r="A205" s="8" t="s">
        <v>1087</v>
      </c>
      <c r="B205" s="8" t="s">
        <v>16</v>
      </c>
      <c r="C205" s="8" t="n">
        <v>10</v>
      </c>
      <c r="D205" s="8" t="s">
        <v>1962</v>
      </c>
      <c r="E205" s="8" t="s">
        <v>5</v>
      </c>
      <c r="F205" s="8" t="n">
        <v>2.6</v>
      </c>
      <c r="G205" s="8" t="s">
        <v>116</v>
      </c>
    </row>
    <row r="206" customFormat="false" ht="15" hidden="false" customHeight="false" outlineLevel="0" collapsed="false">
      <c r="A206" s="8" t="s">
        <v>1087</v>
      </c>
      <c r="B206" s="8" t="s">
        <v>16</v>
      </c>
      <c r="C206" s="8" t="n">
        <v>11</v>
      </c>
      <c r="D206" s="8" t="s">
        <v>1963</v>
      </c>
      <c r="E206" s="8" t="s">
        <v>5</v>
      </c>
      <c r="F206" s="8" t="n">
        <v>1.7</v>
      </c>
      <c r="G206" s="8" t="s">
        <v>116</v>
      </c>
    </row>
    <row r="207" customFormat="false" ht="15" hidden="false" customHeight="false" outlineLevel="0" collapsed="false">
      <c r="A207" s="8" t="s">
        <v>1087</v>
      </c>
      <c r="B207" s="8" t="s">
        <v>16</v>
      </c>
      <c r="C207" s="8" t="n">
        <v>12</v>
      </c>
      <c r="D207" s="8" t="s">
        <v>1964</v>
      </c>
      <c r="E207" s="8" t="s">
        <v>5</v>
      </c>
      <c r="F207" s="8" t="n">
        <v>0.6</v>
      </c>
      <c r="G207" s="8" t="s">
        <v>116</v>
      </c>
    </row>
    <row r="208" customFormat="false" ht="15" hidden="false" customHeight="false" outlineLevel="0" collapsed="false">
      <c r="A208" s="8" t="s">
        <v>1476</v>
      </c>
      <c r="B208" s="8" t="s">
        <v>16</v>
      </c>
      <c r="C208" s="8" t="n">
        <v>1</v>
      </c>
      <c r="D208" s="8" t="s">
        <v>1965</v>
      </c>
      <c r="E208" s="8" t="s">
        <v>5</v>
      </c>
      <c r="F208" s="8" t="n">
        <v>8.1</v>
      </c>
      <c r="G208" s="8" t="s">
        <v>116</v>
      </c>
    </row>
    <row r="209" customFormat="false" ht="15" hidden="false" customHeight="false" outlineLevel="0" collapsed="false">
      <c r="A209" s="8" t="s">
        <v>1476</v>
      </c>
      <c r="B209" s="8" t="s">
        <v>16</v>
      </c>
      <c r="C209" s="8" t="n">
        <v>2</v>
      </c>
      <c r="D209" s="8" t="s">
        <v>1966</v>
      </c>
      <c r="E209" s="8" t="s">
        <v>5</v>
      </c>
      <c r="F209" s="8" t="n">
        <v>1.4</v>
      </c>
      <c r="G209" s="8" t="s">
        <v>116</v>
      </c>
    </row>
    <row r="210" customFormat="false" ht="15" hidden="false" customHeight="false" outlineLevel="0" collapsed="false">
      <c r="A210" s="8" t="s">
        <v>1476</v>
      </c>
      <c r="B210" s="8" t="s">
        <v>16</v>
      </c>
      <c r="C210" s="8" t="n">
        <v>3</v>
      </c>
      <c r="D210" s="8" t="s">
        <v>1967</v>
      </c>
      <c r="E210" s="8" t="s">
        <v>5</v>
      </c>
      <c r="F210" s="8" t="n">
        <v>0.5</v>
      </c>
      <c r="G210" s="8" t="s">
        <v>116</v>
      </c>
    </row>
    <row r="211" customFormat="false" ht="15" hidden="false" customHeight="false" outlineLevel="0" collapsed="false">
      <c r="A211" s="8" t="s">
        <v>1221</v>
      </c>
      <c r="B211" s="8" t="s">
        <v>16</v>
      </c>
      <c r="C211" s="8" t="n">
        <v>1</v>
      </c>
      <c r="D211" s="8" t="s">
        <v>1968</v>
      </c>
      <c r="E211" s="8" t="s">
        <v>5</v>
      </c>
      <c r="F211" s="8" t="n">
        <v>24.1</v>
      </c>
      <c r="G211" s="8" t="s">
        <v>116</v>
      </c>
    </row>
    <row r="212" customFormat="false" ht="15" hidden="false" customHeight="false" outlineLevel="0" collapsed="false">
      <c r="A212" s="8" t="s">
        <v>1221</v>
      </c>
      <c r="B212" s="8" t="s">
        <v>16</v>
      </c>
      <c r="C212" s="8" t="n">
        <v>2</v>
      </c>
      <c r="D212" s="8" t="s">
        <v>1969</v>
      </c>
      <c r="E212" s="8" t="s">
        <v>5</v>
      </c>
      <c r="F212" s="8" t="n">
        <v>1.7</v>
      </c>
      <c r="G212" s="8" t="s">
        <v>116</v>
      </c>
    </row>
    <row r="213" customFormat="false" ht="15" hidden="false" customHeight="false" outlineLevel="0" collapsed="false">
      <c r="A213" s="8" t="s">
        <v>1221</v>
      </c>
      <c r="B213" s="8" t="s">
        <v>16</v>
      </c>
      <c r="C213" s="8" t="n">
        <v>3</v>
      </c>
      <c r="D213" s="8" t="s">
        <v>1970</v>
      </c>
      <c r="E213" s="8" t="s">
        <v>5</v>
      </c>
      <c r="F213" s="8" t="n">
        <v>0.6</v>
      </c>
      <c r="G213" s="8" t="s">
        <v>116</v>
      </c>
    </row>
    <row r="214" customFormat="false" ht="15" hidden="false" customHeight="false" outlineLevel="0" collapsed="false">
      <c r="A214" s="8" t="s">
        <v>1221</v>
      </c>
      <c r="B214" s="8" t="s">
        <v>16</v>
      </c>
      <c r="C214" s="8" t="n">
        <v>4</v>
      </c>
      <c r="D214" s="8" t="s">
        <v>1971</v>
      </c>
      <c r="E214" s="8" t="s">
        <v>5</v>
      </c>
      <c r="F214" s="8" t="n">
        <v>0.6</v>
      </c>
      <c r="G214" s="8" t="s">
        <v>116</v>
      </c>
    </row>
    <row r="215" customFormat="false" ht="15" hidden="false" customHeight="false" outlineLevel="0" collapsed="false">
      <c r="A215" s="8" t="s">
        <v>1221</v>
      </c>
      <c r="B215" s="8" t="s">
        <v>16</v>
      </c>
      <c r="C215" s="8" t="n">
        <v>5</v>
      </c>
      <c r="D215" s="8" t="s">
        <v>1972</v>
      </c>
      <c r="E215" s="8" t="s">
        <v>5</v>
      </c>
      <c r="F215" s="8" t="n">
        <v>0.7</v>
      </c>
      <c r="G215" s="8" t="s">
        <v>116</v>
      </c>
    </row>
    <row r="216" customFormat="false" ht="15" hidden="false" customHeight="false" outlineLevel="0" collapsed="false">
      <c r="A216" s="8" t="s">
        <v>1221</v>
      </c>
      <c r="B216" s="8" t="s">
        <v>16</v>
      </c>
      <c r="C216" s="8" t="n">
        <v>6</v>
      </c>
      <c r="D216" s="8" t="s">
        <v>1973</v>
      </c>
      <c r="E216" s="8" t="s">
        <v>5</v>
      </c>
      <c r="F216" s="8" t="n">
        <v>0.5</v>
      </c>
      <c r="G216" s="8" t="s">
        <v>116</v>
      </c>
    </row>
    <row r="217" customFormat="false" ht="15" hidden="false" customHeight="false" outlineLevel="0" collapsed="false">
      <c r="A217" s="8" t="s">
        <v>1221</v>
      </c>
      <c r="B217" s="8" t="s">
        <v>16</v>
      </c>
      <c r="C217" s="8" t="n">
        <v>7</v>
      </c>
      <c r="D217" s="8" t="s">
        <v>1974</v>
      </c>
      <c r="E217" s="8" t="s">
        <v>5</v>
      </c>
      <c r="F217" s="8" t="n">
        <v>1.6</v>
      </c>
      <c r="G217" s="8" t="s">
        <v>116</v>
      </c>
    </row>
    <row r="218" customFormat="false" ht="15" hidden="false" customHeight="false" outlineLevel="0" collapsed="false">
      <c r="A218" s="8" t="s">
        <v>1221</v>
      </c>
      <c r="B218" s="8" t="s">
        <v>16</v>
      </c>
      <c r="C218" s="8" t="n">
        <v>8</v>
      </c>
      <c r="D218" s="8" t="s">
        <v>1975</v>
      </c>
      <c r="E218" s="8" t="s">
        <v>5</v>
      </c>
      <c r="F218" s="8" t="n">
        <v>1.2</v>
      </c>
      <c r="G218" s="8" t="s">
        <v>116</v>
      </c>
    </row>
    <row r="219" customFormat="false" ht="15" hidden="false" customHeight="false" outlineLevel="0" collapsed="false">
      <c r="A219" s="8" t="s">
        <v>1221</v>
      </c>
      <c r="B219" s="8" t="s">
        <v>16</v>
      </c>
      <c r="C219" s="8" t="n">
        <v>9</v>
      </c>
      <c r="D219" s="8" t="s">
        <v>1976</v>
      </c>
      <c r="E219" s="8" t="s">
        <v>5</v>
      </c>
      <c r="F219" s="8" t="n">
        <v>1.1</v>
      </c>
      <c r="G219" s="8" t="s">
        <v>116</v>
      </c>
    </row>
    <row r="220" customFormat="false" ht="15" hidden="false" customHeight="false" outlineLevel="0" collapsed="false">
      <c r="A220" s="8" t="s">
        <v>1221</v>
      </c>
      <c r="B220" s="8" t="s">
        <v>16</v>
      </c>
      <c r="C220" s="8" t="n">
        <v>10</v>
      </c>
      <c r="D220" s="8" t="s">
        <v>1977</v>
      </c>
      <c r="E220" s="8" t="s">
        <v>5</v>
      </c>
      <c r="F220" s="8" t="n">
        <v>1.2</v>
      </c>
      <c r="G220" s="8" t="s">
        <v>116</v>
      </c>
    </row>
    <row r="221" customFormat="false" ht="15" hidden="false" customHeight="false" outlineLevel="0" collapsed="false">
      <c r="A221" s="8" t="s">
        <v>1221</v>
      </c>
      <c r="B221" s="8" t="s">
        <v>16</v>
      </c>
      <c r="C221" s="8" t="n">
        <v>11</v>
      </c>
      <c r="D221" s="8" t="s">
        <v>1978</v>
      </c>
      <c r="E221" s="8" t="s">
        <v>5</v>
      </c>
      <c r="F221" s="8" t="n">
        <v>1.5</v>
      </c>
      <c r="G221" s="8" t="s">
        <v>116</v>
      </c>
    </row>
  </sheetData>
  <autoFilter ref="A3:G221"/>
  <conditionalFormatting sqref="E4:E221">
    <cfRule type="cellIs" priority="2" operator="equal" aboveAverage="0" equalAverage="0" bottom="0" percent="0" rank="0" text="" dxfId="5">
      <formula>"Pass"</formula>
    </cfRule>
    <cfRule type="cellIs" priority="3" operator="equal" aboveAverage="0" equalAverage="0" bottom="0" percent="0" rank="0" text="" dxfId="6">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7.35" hidden="false" customHeight="false" outlineLevel="0" collapsed="false">
      <c r="A1" s="1" t="s">
        <v>1979</v>
      </c>
    </row>
    <row r="3" customFormat="false" ht="22.35" hidden="false" customHeight="false" outlineLevel="0" collapsed="false">
      <c r="A3" s="10" t="s">
        <v>5</v>
      </c>
      <c r="B3" s="8" t="s">
        <v>1980</v>
      </c>
    </row>
    <row r="4" customFormat="false" ht="15" hidden="false" customHeight="false" outlineLevel="0" collapsed="false">
      <c r="A4" s="10" t="s">
        <v>6</v>
      </c>
      <c r="B4" s="8" t="s">
        <v>1981</v>
      </c>
    </row>
    <row r="5" customFormat="false" ht="15" hidden="false" customHeight="false" outlineLevel="0" collapsed="false">
      <c r="A5" s="10" t="s">
        <v>7</v>
      </c>
      <c r="B5" s="8" t="s">
        <v>1982</v>
      </c>
    </row>
    <row r="6" customFormat="false" ht="22.35" hidden="false" customHeight="false" outlineLevel="0" collapsed="false">
      <c r="A6" s="10" t="s">
        <v>8</v>
      </c>
      <c r="B6" s="8" t="s">
        <v>1983</v>
      </c>
    </row>
    <row r="7" customFormat="false" ht="15" hidden="false" customHeight="false" outlineLevel="0" collapsed="false">
      <c r="A7" s="10" t="s">
        <v>853</v>
      </c>
      <c r="B7" s="8" t="s">
        <v>1984</v>
      </c>
    </row>
    <row r="8" customFormat="false" ht="22.35" hidden="false" customHeight="false" outlineLevel="0" collapsed="false">
      <c r="A8" s="10" t="s">
        <v>1985</v>
      </c>
      <c r="B8" s="8" t="s">
        <v>1986</v>
      </c>
    </row>
    <row r="9" customFormat="false" ht="22.35" hidden="false" customHeight="false" outlineLevel="0" collapsed="false">
      <c r="A9" s="10" t="s">
        <v>1987</v>
      </c>
      <c r="B9" s="8" t="s">
        <v>1988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2026-10-07T17:56:27Z</dcterms:created>
  <dc:creator>openpyxl</dc:creator>
  <dc:description/>
  <dc:language>en-US</dc:language>
  <cp:lastModifiedBy/>
  <dcterms:modified xsi:type="dcterms:W3CDTF">2026-10-07T17:56:27Z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