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Functional Test Cases" sheetId="2" state="visible" r:id="rId2"/>
    <sheet xmlns:r="http://schemas.openxmlformats.org/officeDocument/2006/relationships" name="Test Cases" sheetId="3" state="visible" r:id="rId3"/>
    <sheet xmlns:r="http://schemas.openxmlformats.org/officeDocument/2006/relationships" name="Automated Run" sheetId="4" state="visible" r:id="rId4"/>
    <sheet xmlns:r="http://schemas.openxmlformats.org/officeDocument/2006/relationships" name="Read Me" sheetId="5" state="visible" r:id="rId5"/>
  </sheets>
  <definedNames>
    <definedName name="_xlnm._FilterDatabase" localSheetId="1" hidden="1">'Functional Test Cases'!$A$4:$O$139</definedName>
    <definedName name="_xlnm._FilterDatabase" localSheetId="2" hidden="1">'Test Cases'!$A$4:$O$210</definedName>
    <definedName name="_xlnm._FilterDatabase" localSheetId="3" hidden="1">'Automated Run'!$A$3:$G$282</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213368"/>
      <sz val="14"/>
    </font>
    <font>
      <name val="Arial"/>
      <i val="1"/>
      <sz val="9"/>
    </font>
    <font>
      <name val="Arial"/>
      <b val="1"/>
      <color rgb="00FFFFFF"/>
      <sz val="10"/>
    </font>
    <font>
      <name val="Arial"/>
      <sz val="9"/>
    </font>
    <font>
      <name val="Arial"/>
      <b val="1"/>
      <sz val="10"/>
    </font>
  </fonts>
  <fills count="3">
    <fill>
      <patternFill/>
    </fill>
    <fill>
      <patternFill patternType="gray125"/>
    </fill>
    <fill>
      <patternFill patternType="solid">
        <fgColor rgb="00213368"/>
      </patternFill>
    </fill>
  </fills>
  <borders count="2">
    <border>
      <left/>
      <right/>
      <top/>
      <bottom/>
      <diagonal/>
    </border>
    <border>
      <left style="thin">
        <color rgb="00C9D1E0"/>
      </left>
      <right style="thin">
        <color rgb="00C9D1E0"/>
      </right>
      <top style="thin">
        <color rgb="00C9D1E0"/>
      </top>
      <bottom style="thin">
        <color rgb="00C9D1E0"/>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1" pivotButton="0" quotePrefix="0" xfId="0"/>
    <xf numFmtId="164" fontId="4" fillId="0" borderId="1" pivotButton="0" quotePrefix="0" xfId="0"/>
    <xf numFmtId="0" fontId="5" fillId="0" borderId="1" pivotButton="0" quotePrefix="0" xfId="0"/>
    <xf numFmtId="164" fontId="5" fillId="0" borderId="1" pivotButton="0" quotePrefix="0" xfId="0"/>
    <xf numFmtId="0" fontId="4" fillId="0" borderId="1" applyAlignment="1" pivotButton="0" quotePrefix="0" xfId="0">
      <alignment vertical="top" wrapText="1"/>
    </xf>
    <xf numFmtId="0" fontId="3" fillId="2" borderId="1" applyAlignment="1" pivotButton="0" quotePrefix="0" xfId="0">
      <alignment wrapText="1"/>
    </xf>
    <xf numFmtId="0" fontId="5" fillId="0" borderId="1" applyAlignment="1" pivotButton="0" quotePrefix="0" xfId="0">
      <alignment vertical="top" wrapText="1"/>
    </xf>
  </cellXfs>
  <cellStyles count="1">
    <cellStyle name="Normal" xfId="0" builtinId="0" hidden="0"/>
  </cellStyles>
  <dxfs count="4">
    <dxf>
      <fill>
        <patternFill patternType="solid">
          <fgColor rgb="00D8F0E3"/>
        </patternFill>
      </fill>
    </dxf>
    <dxf>
      <fill>
        <patternFill patternType="solid">
          <fgColor rgb="00FBD9D7"/>
        </patternFill>
      </fill>
    </dxf>
    <dxf>
      <fill>
        <patternFill patternType="solid">
          <fgColor rgb="00FFEBC7"/>
        </patternFill>
      </fill>
    </dxf>
    <dxf>
      <fill>
        <patternFill patternType="solid">
          <fgColor rgb="00E6EA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9"/>
  <sheetViews>
    <sheetView showGridLines="0" workbookViewId="0">
      <selection activeCell="A1" sqref="A1"/>
    </sheetView>
  </sheetViews>
  <sheetFormatPr baseColWidth="8" defaultRowHeight="15"/>
  <cols>
    <col width="46" customWidth="1" min="1" max="1"/>
    <col width="14" customWidth="1" min="2" max="2"/>
    <col width="12" customWidth="1" min="3" max="3"/>
    <col width="12" customWidth="1" min="4" max="4"/>
    <col width="12" customWidth="1" min="5" max="5"/>
    <col width="12" customWidth="1" min="6" max="6"/>
  </cols>
  <sheetData>
    <row r="1">
      <c r="A1" s="1" t="inlineStr">
        <is>
          <t>Test execution summary</t>
        </is>
      </c>
    </row>
    <row r="2">
      <c r="A2" s="2" t="inlineStr">
        <is>
          <t>Run date 2026-10-08. All figures below are formulas over the "Test Cases" and "Automated Run" sheets.</t>
        </is>
      </c>
    </row>
    <row r="4">
      <c r="A4" s="3" t="inlineStr">
        <is>
          <t>Catalogue status</t>
        </is>
      </c>
      <c r="B4" s="3" t="inlineStr">
        <is>
          <t>Count</t>
        </is>
      </c>
      <c r="C4" s="3" t="inlineStr">
        <is>
          <t>% of cases</t>
        </is>
      </c>
    </row>
    <row r="5">
      <c r="A5" s="4" t="inlineStr">
        <is>
          <t>Pass</t>
        </is>
      </c>
      <c r="B5" s="4">
        <f>COUNTIF('Test Cases'!$H$5:$H$210,"Pass")</f>
        <v/>
      </c>
      <c r="C5" s="5">
        <f>IF($B$9=0,0,B5/$B$9)</f>
        <v/>
      </c>
    </row>
    <row r="6">
      <c r="A6" s="4" t="inlineStr">
        <is>
          <t>Fail</t>
        </is>
      </c>
      <c r="B6" s="4">
        <f>COUNTIF('Test Cases'!$H$5:$H$210,"Fail")</f>
        <v/>
      </c>
      <c r="C6" s="5">
        <f>IF($B$9=0,0,B6/$B$9)</f>
        <v/>
      </c>
    </row>
    <row r="7">
      <c r="A7" s="4" t="inlineStr">
        <is>
          <t>Blocked</t>
        </is>
      </c>
      <c r="B7" s="4">
        <f>COUNTIF('Test Cases'!$H$5:$H$210,"Blocked")</f>
        <v/>
      </c>
      <c r="C7" s="5">
        <f>IF($B$9=0,0,B7/$B$9)</f>
        <v/>
      </c>
    </row>
    <row r="8">
      <c r="A8" s="4" t="inlineStr">
        <is>
          <t>Not Run</t>
        </is>
      </c>
      <c r="B8" s="4">
        <f>COUNTIF('Test Cases'!$H$5:$H$210,"Not Run")</f>
        <v/>
      </c>
      <c r="C8" s="5">
        <f>IF($B$9=0,0,B8/$B$9)</f>
        <v/>
      </c>
    </row>
    <row r="9">
      <c r="A9" s="6" t="inlineStr">
        <is>
          <t>Total test cases</t>
        </is>
      </c>
      <c r="B9" s="6">
        <f>SUM(B5:B8)</f>
        <v/>
      </c>
      <c r="C9" s="7">
        <f>SUM(C5:C8)</f>
        <v/>
      </c>
    </row>
    <row r="10">
      <c r="A10" s="6" t="inlineStr">
        <is>
          <t>Pass rate of executed cases</t>
        </is>
      </c>
      <c r="B10" s="7">
        <f>IF((B5+B6)=0,0,B5/(B5+B6))</f>
        <v/>
      </c>
    </row>
    <row r="12">
      <c r="A12" s="3" t="inlineStr">
        <is>
          <t>Automated tests (this run)</t>
        </is>
      </c>
      <c r="B12" s="3" t="inlineStr">
        <is>
          <t>Executed</t>
        </is>
      </c>
      <c r="C12" s="3" t="inlineStr">
        <is>
          <t>Passed</t>
        </is>
      </c>
      <c r="D12" s="3" t="inlineStr">
        <is>
          <t>Failed</t>
        </is>
      </c>
      <c r="E12" s="3" t="inlineStr">
        <is>
          <t>Pass rate</t>
        </is>
      </c>
    </row>
    <row r="13">
      <c r="A13" s="4" t="inlineStr">
        <is>
          <t>Unit</t>
        </is>
      </c>
      <c r="B13" s="4">
        <f>COUNTIF('Automated Run'!$B$4:$B$282,"Unit")</f>
        <v/>
      </c>
      <c r="C13" s="4">
        <f>COUNTIFS('Automated Run'!$B$4:$B$282,"Unit",'Automated Run'!$E$4:$E$282,"Pass")</f>
        <v/>
      </c>
      <c r="D13" s="4">
        <f>COUNTIFS('Automated Run'!$B$4:$B$282,"Unit",'Automated Run'!$E$4:$E$282,"Fail")</f>
        <v/>
      </c>
      <c r="E13" s="5">
        <f>IF(B13=0,0,C13/B13)</f>
        <v/>
      </c>
    </row>
    <row r="14">
      <c r="A14" s="4" t="inlineStr">
        <is>
          <t>Integration</t>
        </is>
      </c>
      <c r="B14" s="4">
        <f>COUNTIF('Automated Run'!$B$4:$B$282,"Integration")</f>
        <v/>
      </c>
      <c r="C14" s="4">
        <f>COUNTIFS('Automated Run'!$B$4:$B$282,"Integration",'Automated Run'!$E$4:$E$282,"Pass")</f>
        <v/>
      </c>
      <c r="D14" s="4">
        <f>COUNTIFS('Automated Run'!$B$4:$B$282,"Integration",'Automated Run'!$E$4:$E$282,"Fail")</f>
        <v/>
      </c>
      <c r="E14" s="5">
        <f>IF(B14=0,0,C14/B14)</f>
        <v/>
      </c>
    </row>
    <row r="15">
      <c r="A15" s="4" t="inlineStr">
        <is>
          <t>API</t>
        </is>
      </c>
      <c r="B15" s="4">
        <f>COUNTIF('Automated Run'!$B$4:$B$282,"API")</f>
        <v/>
      </c>
      <c r="C15" s="4">
        <f>COUNTIFS('Automated Run'!$B$4:$B$282,"API",'Automated Run'!$E$4:$E$282,"Pass")</f>
        <v/>
      </c>
      <c r="D15" s="4">
        <f>COUNTIFS('Automated Run'!$B$4:$B$282,"API",'Automated Run'!$E$4:$E$282,"Fail")</f>
        <v/>
      </c>
      <c r="E15" s="5">
        <f>IF(B15=0,0,C15/B15)</f>
        <v/>
      </c>
    </row>
    <row r="16">
      <c r="A16" s="4" t="inlineStr">
        <is>
          <t>Security</t>
        </is>
      </c>
      <c r="B16" s="4">
        <f>COUNTIF('Automated Run'!$B$4:$B$282,"Security")</f>
        <v/>
      </c>
      <c r="C16" s="4">
        <f>COUNTIFS('Automated Run'!$B$4:$B$282,"Security",'Automated Run'!$E$4:$E$282,"Pass")</f>
        <v/>
      </c>
      <c r="D16" s="4">
        <f>COUNTIFS('Automated Run'!$B$4:$B$282,"Security",'Automated Run'!$E$4:$E$282,"Fail")</f>
        <v/>
      </c>
      <c r="E16" s="5">
        <f>IF(B16=0,0,C16/B16)</f>
        <v/>
      </c>
    </row>
    <row r="17">
      <c r="A17" s="4" t="inlineStr">
        <is>
          <t>PostgreSQL</t>
        </is>
      </c>
      <c r="B17" s="4">
        <f>COUNTIF('Automated Run'!$B$4:$B$282,"PostgreSQL")</f>
        <v/>
      </c>
      <c r="C17" s="4">
        <f>COUNTIFS('Automated Run'!$B$4:$B$282,"PostgreSQL",'Automated Run'!$E$4:$E$282,"Pass")</f>
        <v/>
      </c>
      <c r="D17" s="4">
        <f>COUNTIFS('Automated Run'!$B$4:$B$282,"PostgreSQL",'Automated Run'!$E$4:$E$282,"Fail")</f>
        <v/>
      </c>
      <c r="E17" s="5">
        <f>IF(B17=0,0,C17/B17)</f>
        <v/>
      </c>
    </row>
    <row r="18">
      <c r="A18" s="4" t="inlineStr">
        <is>
          <t>Functional</t>
        </is>
      </c>
      <c r="B18" s="4">
        <f>COUNTIF('Automated Run'!$B$4:$B$282,"Functional")</f>
        <v/>
      </c>
      <c r="C18" s="4">
        <f>COUNTIFS('Automated Run'!$B$4:$B$282,"Functional",'Automated Run'!$E$4:$E$282,"Pass")</f>
        <v/>
      </c>
      <c r="D18" s="4">
        <f>COUNTIFS('Automated Run'!$B$4:$B$282,"Functional",'Automated Run'!$E$4:$E$282,"Fail")</f>
        <v/>
      </c>
      <c r="E18" s="5">
        <f>IF(B18=0,0,C18/B18)</f>
        <v/>
      </c>
    </row>
    <row r="19">
      <c r="A19" s="6" t="inlineStr">
        <is>
          <t>Total</t>
        </is>
      </c>
      <c r="B19" s="6">
        <f>SUM(B13:B18)</f>
        <v/>
      </c>
      <c r="C19" s="6">
        <f>SUM(C13:C18)</f>
        <v/>
      </c>
      <c r="D19" s="6">
        <f>SUM(D13:D18)</f>
        <v/>
      </c>
      <c r="E19" s="7">
        <f>IF(B19=0,0,C19/B19)</f>
        <v/>
      </c>
    </row>
    <row r="20">
      <c r="A20" s="3" t="inlineStr">
        <is>
          <t>Quality gate</t>
        </is>
      </c>
      <c r="B20" s="3" t="inlineStr">
        <is>
          <t>Measured</t>
        </is>
      </c>
      <c r="C20" s="3" t="inlineStr">
        <is>
          <t>Target</t>
        </is>
      </c>
      <c r="D20" s="3" t="inlineStr">
        <is>
          <t>Result</t>
        </is>
      </c>
    </row>
    <row r="21">
      <c r="A21" s="4" t="inlineStr">
        <is>
          <t>Line coverage</t>
        </is>
      </c>
      <c r="B21" s="4" t="inlineStr">
        <is>
          <t>line %%</t>
        </is>
      </c>
      <c r="C21" s="4" t="inlineStr">
        <is>
          <t>≥ 80%</t>
        </is>
      </c>
      <c r="D21" s="4" t="inlineStr">
        <is>
          <t>Pass</t>
        </is>
      </c>
    </row>
    <row r="22">
      <c r="A22" s="4" t="inlineStr">
        <is>
          <t>Branch coverage</t>
        </is>
      </c>
      <c r="B22" s="4" t="inlineStr">
        <is>
          <t>branch %%</t>
        </is>
      </c>
      <c r="C22" s="4" t="inlineStr">
        <is>
          <t>≥ 70%</t>
        </is>
      </c>
      <c r="D22" s="4" t="inlineStr">
        <is>
          <t>Pass</t>
        </is>
      </c>
    </row>
    <row r="23">
      <c r="A23" s="4" t="inlineStr">
        <is>
          <t>Function coverage</t>
        </is>
      </c>
      <c r="B23" s="4" t="inlineStr">
        <is>
          <t>funcs %%</t>
        </is>
      </c>
      <c r="C23" s="4" t="inlineStr">
        <is>
          <t>≥ 80%</t>
        </is>
      </c>
      <c r="D23" s="4" t="inlineStr">
        <is>
          <t>Pass</t>
        </is>
      </c>
    </row>
    <row r="24">
      <c r="A24" s="4" t="inlineStr">
        <is>
          <t>Lint (ESLint)</t>
        </is>
      </c>
      <c r="B24" s="4" t="inlineStr">
        <is>
          <t>0 errors</t>
        </is>
      </c>
      <c r="C24" s="4" t="inlineStr">
        <is>
          <t>0 errors</t>
        </is>
      </c>
      <c r="D24" s="4" t="inlineStr">
        <is>
          <t>Pass</t>
        </is>
      </c>
    </row>
    <row r="25">
      <c r="A25" s="4" t="inlineStr">
        <is>
          <t>Load test p95 latency</t>
        </is>
      </c>
      <c r="B25" s="4" t="inlineStr">
        <is>
          <t>209.6 ms</t>
        </is>
      </c>
      <c r="C25" s="4" t="inlineStr">
        <is>
          <t>≤ 300 ms</t>
        </is>
      </c>
      <c r="D25" s="4" t="inlineStr">
        <is>
          <t>Pass</t>
        </is>
      </c>
    </row>
    <row r="26">
      <c r="A26" s="4" t="inlineStr">
        <is>
          <t>Load test throughput (1 process, 25 concurrent)</t>
        </is>
      </c>
      <c r="B26" s="4" t="inlineStr">
        <is>
          <t>193.7 req/s</t>
        </is>
      </c>
      <c r="C26" s="4" t="inlineStr">
        <is>
          <t>informational</t>
        </is>
      </c>
      <c r="D26" s="4" t="inlineStr">
        <is>
          <t>—</t>
        </is>
      </c>
    </row>
    <row r="27">
      <c r="A27" s="4" t="inlineStr">
        <is>
          <t>Load test error rate</t>
        </is>
      </c>
      <c r="B27" s="4" t="inlineStr">
        <is>
          <t>0.00%</t>
        </is>
      </c>
      <c r="C27" s="4" t="inlineStr">
        <is>
          <t>≤ 1%</t>
        </is>
      </c>
      <c r="D27" s="4" t="inlineStr">
        <is>
          <t>Pass</t>
        </is>
      </c>
    </row>
    <row r="29">
      <c r="A29" s="3" t="inlineStr">
        <is>
          <t>Module</t>
        </is>
      </c>
      <c r="B29" s="3" t="inlineStr">
        <is>
          <t>Cases</t>
        </is>
      </c>
      <c r="C29" s="3" t="inlineStr">
        <is>
          <t>Pass</t>
        </is>
      </c>
      <c r="D29" s="3" t="inlineStr">
        <is>
          <t>Fail</t>
        </is>
      </c>
      <c r="E29" s="3" t="inlineStr">
        <is>
          <t>Blocked</t>
        </is>
      </c>
      <c r="F29" s="3" t="inlineStr">
        <is>
          <t>Not Run</t>
        </is>
      </c>
    </row>
    <row r="30">
      <c r="A30" s="4" t="inlineStr">
        <is>
          <t>Authentication and session</t>
        </is>
      </c>
      <c r="B30" s="4">
        <f>COUNTIF('Test Cases'!$B$5:$B$210,A30)</f>
        <v/>
      </c>
      <c r="C30" s="4">
        <f>COUNTIFS('Test Cases'!$B$5:$B$210,$A30,'Test Cases'!$H$5:$H$210,"Pass")</f>
        <v/>
      </c>
      <c r="D30" s="4">
        <f>COUNTIFS('Test Cases'!$B$5:$B$210,$A30,'Test Cases'!$H$5:$H$210,"Fail")</f>
        <v/>
      </c>
      <c r="E30" s="4">
        <f>COUNTIFS('Test Cases'!$B$5:$B$210,$A30,'Test Cases'!$H$5:$H$210,"Blocked")</f>
        <v/>
      </c>
      <c r="F30" s="4">
        <f>COUNTIFS('Test Cases'!$B$5:$B$210,$A30,'Test Cases'!$H$5:$H$210,"Not Run")</f>
        <v/>
      </c>
    </row>
    <row r="31">
      <c r="A31" s="4" t="inlineStr">
        <is>
          <t>Authorisation (RBAC and ABAC)</t>
        </is>
      </c>
      <c r="B31" s="4">
        <f>COUNTIF('Test Cases'!$B$5:$B$210,A31)</f>
        <v/>
      </c>
      <c r="C31" s="4">
        <f>COUNTIFS('Test Cases'!$B$5:$B$210,$A31,'Test Cases'!$H$5:$H$210,"Pass")</f>
        <v/>
      </c>
      <c r="D31" s="4">
        <f>COUNTIFS('Test Cases'!$B$5:$B$210,$A31,'Test Cases'!$H$5:$H$210,"Fail")</f>
        <v/>
      </c>
      <c r="E31" s="4">
        <f>COUNTIFS('Test Cases'!$B$5:$B$210,$A31,'Test Cases'!$H$5:$H$210,"Blocked")</f>
        <v/>
      </c>
      <c r="F31" s="4">
        <f>COUNTIFS('Test Cases'!$B$5:$B$210,$A31,'Test Cases'!$H$5:$H$210,"Not Run")</f>
        <v/>
      </c>
    </row>
    <row r="32">
      <c r="A32" s="4" t="inlineStr">
        <is>
          <t>Customer 360, data enrichment and MDM</t>
        </is>
      </c>
      <c r="B32" s="4">
        <f>COUNTIF('Test Cases'!$B$5:$B$210,A32)</f>
        <v/>
      </c>
      <c r="C32" s="4">
        <f>COUNTIFS('Test Cases'!$B$5:$B$210,$A32,'Test Cases'!$H$5:$H$210,"Pass")</f>
        <v/>
      </c>
      <c r="D32" s="4">
        <f>COUNTIFS('Test Cases'!$B$5:$B$210,$A32,'Test Cases'!$H$5:$H$210,"Fail")</f>
        <v/>
      </c>
      <c r="E32" s="4">
        <f>COUNTIFS('Test Cases'!$B$5:$B$210,$A32,'Test Cases'!$H$5:$H$210,"Blocked")</f>
        <v/>
      </c>
      <c r="F32" s="4">
        <f>COUNTIFS('Test Cases'!$B$5:$B$210,$A32,'Test Cases'!$H$5:$H$210,"Not Run")</f>
        <v/>
      </c>
    </row>
    <row r="33">
      <c r="A33" s="4" t="inlineStr">
        <is>
          <t>Lead scoring, next best action and benefits</t>
        </is>
      </c>
      <c r="B33" s="4">
        <f>COUNTIF('Test Cases'!$B$5:$B$210,A33)</f>
        <v/>
      </c>
      <c r="C33" s="4">
        <f>COUNTIFS('Test Cases'!$B$5:$B$210,$A33,'Test Cases'!$H$5:$H$210,"Pass")</f>
        <v/>
      </c>
      <c r="D33" s="4">
        <f>COUNTIFS('Test Cases'!$B$5:$B$210,$A33,'Test Cases'!$H$5:$H$210,"Fail")</f>
        <v/>
      </c>
      <c r="E33" s="4">
        <f>COUNTIFS('Test Cases'!$B$5:$B$210,$A33,'Test Cases'!$H$5:$H$210,"Blocked")</f>
        <v/>
      </c>
      <c r="F33" s="4">
        <f>COUNTIFS('Test Cases'!$B$5:$B$210,$A33,'Test Cases'!$H$5:$H$210,"Not Run")</f>
        <v/>
      </c>
    </row>
    <row r="34">
      <c r="A34" s="4" t="inlineStr">
        <is>
          <t>Journeys and contact compliance</t>
        </is>
      </c>
      <c r="B34" s="4">
        <f>COUNTIF('Test Cases'!$B$5:$B$210,A34)</f>
        <v/>
      </c>
      <c r="C34" s="4">
        <f>COUNTIFS('Test Cases'!$B$5:$B$210,$A34,'Test Cases'!$H$5:$H$210,"Pass")</f>
        <v/>
      </c>
      <c r="D34" s="4">
        <f>COUNTIFS('Test Cases'!$B$5:$B$210,$A34,'Test Cases'!$H$5:$H$210,"Fail")</f>
        <v/>
      </c>
      <c r="E34" s="4">
        <f>COUNTIFS('Test Cases'!$B$5:$B$210,$A34,'Test Cases'!$H$5:$H$210,"Blocked")</f>
        <v/>
      </c>
      <c r="F34" s="4">
        <f>COUNTIFS('Test Cases'!$B$5:$B$210,$A34,'Test Cases'!$H$5:$H$210,"Not Run")</f>
        <v/>
      </c>
    </row>
    <row r="35">
      <c r="A35" s="4" t="inlineStr">
        <is>
          <t>Voice bot and telesales handoff</t>
        </is>
      </c>
      <c r="B35" s="4">
        <f>COUNTIF('Test Cases'!$B$5:$B$210,A35)</f>
        <v/>
      </c>
      <c r="C35" s="4">
        <f>COUNTIFS('Test Cases'!$B$5:$B$210,$A35,'Test Cases'!$H$5:$H$210,"Pass")</f>
        <v/>
      </c>
      <c r="D35" s="4">
        <f>COUNTIFS('Test Cases'!$B$5:$B$210,$A35,'Test Cases'!$H$5:$H$210,"Fail")</f>
        <v/>
      </c>
      <c r="E35" s="4">
        <f>COUNTIFS('Test Cases'!$B$5:$B$210,$A35,'Test Cases'!$H$5:$H$210,"Blocked")</f>
        <v/>
      </c>
      <c r="F35" s="4">
        <f>COUNTIFS('Test Cases'!$B$5:$B$210,$A35,'Test Cases'!$H$5:$H$210,"Not Run")</f>
        <v/>
      </c>
    </row>
    <row r="36">
      <c r="A36" s="4" t="inlineStr">
        <is>
          <t>Quote, payment, issuance and e-certificate</t>
        </is>
      </c>
      <c r="B36" s="4">
        <f>COUNTIF('Test Cases'!$B$5:$B$210,A36)</f>
        <v/>
      </c>
      <c r="C36" s="4">
        <f>COUNTIFS('Test Cases'!$B$5:$B$210,$A36,'Test Cases'!$H$5:$H$210,"Pass")</f>
        <v/>
      </c>
      <c r="D36" s="4">
        <f>COUNTIFS('Test Cases'!$B$5:$B$210,$A36,'Test Cases'!$H$5:$H$210,"Fail")</f>
        <v/>
      </c>
      <c r="E36" s="4">
        <f>COUNTIFS('Test Cases'!$B$5:$B$210,$A36,'Test Cases'!$H$5:$H$210,"Blocked")</f>
        <v/>
      </c>
      <c r="F36" s="4">
        <f>COUNTIFS('Test Cases'!$B$5:$B$210,$A36,'Test Cases'!$H$5:$H$210,"Not Run")</f>
        <v/>
      </c>
    </row>
    <row r="37">
      <c r="A37" s="4" t="inlineStr">
        <is>
          <t>Partners and partner API</t>
        </is>
      </c>
      <c r="B37" s="4">
        <f>COUNTIF('Test Cases'!$B$5:$B$210,A37)</f>
        <v/>
      </c>
      <c r="C37" s="4">
        <f>COUNTIFS('Test Cases'!$B$5:$B$210,$A37,'Test Cases'!$H$5:$H$210,"Pass")</f>
        <v/>
      </c>
      <c r="D37" s="4">
        <f>COUNTIFS('Test Cases'!$B$5:$B$210,$A37,'Test Cases'!$H$5:$H$210,"Fail")</f>
        <v/>
      </c>
      <c r="E37" s="4">
        <f>COUNTIFS('Test Cases'!$B$5:$B$210,$A37,'Test Cases'!$H$5:$H$210,"Blocked")</f>
        <v/>
      </c>
      <c r="F37" s="4">
        <f>COUNTIFS('Test Cases'!$B$5:$B$210,$A37,'Test Cases'!$H$5:$H$210,"Not Run")</f>
        <v/>
      </c>
    </row>
    <row r="38">
      <c r="A38" s="4" t="inlineStr">
        <is>
          <t>Rules engine and maker-checker</t>
        </is>
      </c>
      <c r="B38" s="4">
        <f>COUNTIF('Test Cases'!$B$5:$B$210,A38)</f>
        <v/>
      </c>
      <c r="C38" s="4">
        <f>COUNTIFS('Test Cases'!$B$5:$B$210,$A38,'Test Cases'!$H$5:$H$210,"Pass")</f>
        <v/>
      </c>
      <c r="D38" s="4">
        <f>COUNTIFS('Test Cases'!$B$5:$B$210,$A38,'Test Cases'!$H$5:$H$210,"Fail")</f>
        <v/>
      </c>
      <c r="E38" s="4">
        <f>COUNTIFS('Test Cases'!$B$5:$B$210,$A38,'Test Cases'!$H$5:$H$210,"Blocked")</f>
        <v/>
      </c>
      <c r="F38" s="4">
        <f>COUNTIFS('Test Cases'!$B$5:$B$210,$A38,'Test Cases'!$H$5:$H$210,"Not Run")</f>
        <v/>
      </c>
    </row>
    <row r="39">
      <c r="A39" s="4" t="inlineStr">
        <is>
          <t>Claims first notice of loss</t>
        </is>
      </c>
      <c r="B39" s="4">
        <f>COUNTIF('Test Cases'!$B$5:$B$210,A39)</f>
        <v/>
      </c>
      <c r="C39" s="4">
        <f>COUNTIFS('Test Cases'!$B$5:$B$210,$A39,'Test Cases'!$H$5:$H$210,"Pass")</f>
        <v/>
      </c>
      <c r="D39" s="4">
        <f>COUNTIFS('Test Cases'!$B$5:$B$210,$A39,'Test Cases'!$H$5:$H$210,"Fail")</f>
        <v/>
      </c>
      <c r="E39" s="4">
        <f>COUNTIFS('Test Cases'!$B$5:$B$210,$A39,'Test Cases'!$H$5:$H$210,"Blocked")</f>
        <v/>
      </c>
      <c r="F39" s="4">
        <f>COUNTIFS('Test Cases'!$B$5:$B$210,$A39,'Test Cases'!$H$5:$H$210,"Not Run")</f>
        <v/>
      </c>
    </row>
    <row r="40">
      <c r="A40" s="4" t="inlineStr">
        <is>
          <t>Privacy, encryption and audit</t>
        </is>
      </c>
      <c r="B40" s="4">
        <f>COUNTIF('Test Cases'!$B$5:$B$210,A40)</f>
        <v/>
      </c>
      <c r="C40" s="4">
        <f>COUNTIFS('Test Cases'!$B$5:$B$210,$A40,'Test Cases'!$H$5:$H$210,"Pass")</f>
        <v/>
      </c>
      <c r="D40" s="4">
        <f>COUNTIFS('Test Cases'!$B$5:$B$210,$A40,'Test Cases'!$H$5:$H$210,"Fail")</f>
        <v/>
      </c>
      <c r="E40" s="4">
        <f>COUNTIFS('Test Cases'!$B$5:$B$210,$A40,'Test Cases'!$H$5:$H$210,"Blocked")</f>
        <v/>
      </c>
      <c r="F40" s="4">
        <f>COUNTIFS('Test Cases'!$B$5:$B$210,$A40,'Test Cases'!$H$5:$H$210,"Not Run")</f>
        <v/>
      </c>
    </row>
    <row r="41">
      <c r="A41" s="4" t="inlineStr">
        <is>
          <t>Operations, jobs and events</t>
        </is>
      </c>
      <c r="B41" s="4">
        <f>COUNTIF('Test Cases'!$B$5:$B$210,A41)</f>
        <v/>
      </c>
      <c r="C41" s="4">
        <f>COUNTIFS('Test Cases'!$B$5:$B$210,$A41,'Test Cases'!$H$5:$H$210,"Pass")</f>
        <v/>
      </c>
      <c r="D41" s="4">
        <f>COUNTIFS('Test Cases'!$B$5:$B$210,$A41,'Test Cases'!$H$5:$H$210,"Fail")</f>
        <v/>
      </c>
      <c r="E41" s="4">
        <f>COUNTIFS('Test Cases'!$B$5:$B$210,$A41,'Test Cases'!$H$5:$H$210,"Blocked")</f>
        <v/>
      </c>
      <c r="F41" s="4">
        <f>COUNTIFS('Test Cases'!$B$5:$B$210,$A41,'Test Cases'!$H$5:$H$210,"Not Run")</f>
        <v/>
      </c>
    </row>
    <row r="42">
      <c r="A42" s="4" t="inlineStr">
        <is>
          <t>HTTP pipeline and platform security</t>
        </is>
      </c>
      <c r="B42" s="4">
        <f>COUNTIF('Test Cases'!$B$5:$B$210,A42)</f>
        <v/>
      </c>
      <c r="C42" s="4">
        <f>COUNTIFS('Test Cases'!$B$5:$B$210,$A42,'Test Cases'!$H$5:$H$210,"Pass")</f>
        <v/>
      </c>
      <c r="D42" s="4">
        <f>COUNTIFS('Test Cases'!$B$5:$B$210,$A42,'Test Cases'!$H$5:$H$210,"Fail")</f>
        <v/>
      </c>
      <c r="E42" s="4">
        <f>COUNTIFS('Test Cases'!$B$5:$B$210,$A42,'Test Cases'!$H$5:$H$210,"Blocked")</f>
        <v/>
      </c>
      <c r="F42" s="4">
        <f>COUNTIFS('Test Cases'!$B$5:$B$210,$A42,'Test Cases'!$H$5:$H$210,"Not Run")</f>
        <v/>
      </c>
    </row>
    <row r="43">
      <c r="A43" s="4" t="inlineStr">
        <is>
          <t>Non-functional, resilience and DR</t>
        </is>
      </c>
      <c r="B43" s="4">
        <f>COUNTIF('Test Cases'!$B$5:$B$210,A43)</f>
        <v/>
      </c>
      <c r="C43" s="4">
        <f>COUNTIFS('Test Cases'!$B$5:$B$210,$A43,'Test Cases'!$H$5:$H$210,"Pass")</f>
        <v/>
      </c>
      <c r="D43" s="4">
        <f>COUNTIFS('Test Cases'!$B$5:$B$210,$A43,'Test Cases'!$H$5:$H$210,"Fail")</f>
        <v/>
      </c>
      <c r="E43" s="4">
        <f>COUNTIFS('Test Cases'!$B$5:$B$210,$A43,'Test Cases'!$H$5:$H$210,"Blocked")</f>
        <v/>
      </c>
      <c r="F43" s="4">
        <f>COUNTIFS('Test Cases'!$B$5:$B$210,$A43,'Test Cases'!$H$5:$H$210,"Not Run")</f>
        <v/>
      </c>
    </row>
    <row r="44">
      <c r="A44" s="4" t="inlineStr">
        <is>
          <t>Accessibility and localisation</t>
        </is>
      </c>
      <c r="B44" s="4">
        <f>COUNTIF('Test Cases'!$B$5:$B$210,A44)</f>
        <v/>
      </c>
      <c r="C44" s="4">
        <f>COUNTIFS('Test Cases'!$B$5:$B$210,$A44,'Test Cases'!$H$5:$H$210,"Pass")</f>
        <v/>
      </c>
      <c r="D44" s="4">
        <f>COUNTIFS('Test Cases'!$B$5:$B$210,$A44,'Test Cases'!$H$5:$H$210,"Fail")</f>
        <v/>
      </c>
      <c r="E44" s="4">
        <f>COUNTIFS('Test Cases'!$B$5:$B$210,$A44,'Test Cases'!$H$5:$H$210,"Blocked")</f>
        <v/>
      </c>
      <c r="F44" s="4">
        <f>COUNTIFS('Test Cases'!$B$5:$B$210,$A44,'Test Cases'!$H$5:$H$210,"Not Run")</f>
        <v/>
      </c>
    </row>
    <row r="45">
      <c r="A45" s="4" t="inlineStr">
        <is>
          <t>SIT with VETC, TASCO and Zalo</t>
        </is>
      </c>
      <c r="B45" s="4">
        <f>COUNTIF('Test Cases'!$B$5:$B$210,A45)</f>
        <v/>
      </c>
      <c r="C45" s="4">
        <f>COUNTIFS('Test Cases'!$B$5:$B$210,$A45,'Test Cases'!$H$5:$H$210,"Pass")</f>
        <v/>
      </c>
      <c r="D45" s="4">
        <f>COUNTIFS('Test Cases'!$B$5:$B$210,$A45,'Test Cases'!$H$5:$H$210,"Fail")</f>
        <v/>
      </c>
      <c r="E45" s="4">
        <f>COUNTIFS('Test Cases'!$B$5:$B$210,$A45,'Test Cases'!$H$5:$H$210,"Blocked")</f>
        <v/>
      </c>
      <c r="F45" s="4">
        <f>COUNTIFS('Test Cases'!$B$5:$B$210,$A45,'Test Cases'!$H$5:$H$210,"Not Run")</f>
        <v/>
      </c>
    </row>
    <row r="46">
      <c r="A46" s="4" t="inlineStr">
        <is>
          <t>Assisted sales and review findings</t>
        </is>
      </c>
      <c r="B46" s="4">
        <f>COUNTIF('Test Cases'!$B$5:$B$210,A46)</f>
        <v/>
      </c>
      <c r="C46" s="4">
        <f>COUNTIFS('Test Cases'!$B$5:$B$210,$A46,'Test Cases'!$H$5:$H$210,"Pass")</f>
        <v/>
      </c>
      <c r="D46" s="4">
        <f>COUNTIFS('Test Cases'!$B$5:$B$210,$A46,'Test Cases'!$H$5:$H$210,"Fail")</f>
        <v/>
      </c>
      <c r="E46" s="4">
        <f>COUNTIFS('Test Cases'!$B$5:$B$210,$A46,'Test Cases'!$H$5:$H$210,"Blocked")</f>
        <v/>
      </c>
      <c r="F46" s="4">
        <f>COUNTIFS('Test Cases'!$B$5:$B$210,$A46,'Test Cases'!$H$5:$H$210,"Not Run")</f>
        <v/>
      </c>
    </row>
    <row r="47">
      <c r="A47" s="4" t="inlineStr">
        <is>
          <t>TASCO core rating and product catalogue</t>
        </is>
      </c>
      <c r="B47" s="4">
        <f>COUNTIF('Test Cases'!$B$5:$B$210,A47)</f>
        <v/>
      </c>
      <c r="C47" s="4">
        <f>COUNTIFS('Test Cases'!$B$5:$B$210,$A47,'Test Cases'!$H$5:$H$210,"Pass")</f>
        <v/>
      </c>
      <c r="D47" s="4">
        <f>COUNTIFS('Test Cases'!$B$5:$B$210,$A47,'Test Cases'!$H$5:$H$210,"Fail")</f>
        <v/>
      </c>
      <c r="E47" s="4">
        <f>COUNTIFS('Test Cases'!$B$5:$B$210,$A47,'Test Cases'!$H$5:$H$210,"Blocked")</f>
        <v/>
      </c>
      <c r="F47" s="4">
        <f>COUNTIFS('Test Cases'!$B$5:$B$210,$A47,'Test Cases'!$H$5:$H$210,"Not Run")</f>
        <v/>
      </c>
    </row>
    <row r="48">
      <c r="A48" s="4" t="inlineStr">
        <is>
          <t>Customer channels and vehicle confirmation</t>
        </is>
      </c>
      <c r="B48" s="4">
        <f>COUNTIF('Test Cases'!$B$5:$B$210,A48)</f>
        <v/>
      </c>
      <c r="C48" s="4">
        <f>COUNTIFS('Test Cases'!$B$5:$B$210,$A48,'Test Cases'!$H$5:$H$210,"Pass")</f>
        <v/>
      </c>
      <c r="D48" s="4">
        <f>COUNTIFS('Test Cases'!$B$5:$B$210,$A48,'Test Cases'!$H$5:$H$210,"Fail")</f>
        <v/>
      </c>
      <c r="E48" s="4">
        <f>COUNTIFS('Test Cases'!$B$5:$B$210,$A48,'Test Cases'!$H$5:$H$210,"Blocked")</f>
        <v/>
      </c>
      <c r="F48" s="4">
        <f>COUNTIFS('Test Cases'!$B$5:$B$210,$A48,'Test Cases'!$H$5:$H$210,"Not Run")</f>
        <v/>
      </c>
    </row>
    <row r="49">
      <c r="A49" s="4" t="inlineStr">
        <is>
          <t>Data requests and quick renewal</t>
        </is>
      </c>
      <c r="B49" s="4">
        <f>COUNTIF('Test Cases'!$B$5:$B$210,A49)</f>
        <v/>
      </c>
      <c r="C49" s="4">
        <f>COUNTIFS('Test Cases'!$B$5:$B$210,$A49,'Test Cases'!$H$5:$H$210,"Pass")</f>
        <v/>
      </c>
      <c r="D49" s="4">
        <f>COUNTIFS('Test Cases'!$B$5:$B$210,$A49,'Test Cases'!$H$5:$H$210,"Fail")</f>
        <v/>
      </c>
      <c r="E49" s="4">
        <f>COUNTIFS('Test Cases'!$B$5:$B$210,$A49,'Test Cases'!$H$5:$H$210,"Blocked")</f>
        <v/>
      </c>
      <c r="F49" s="4">
        <f>COUNTIFS('Test Cases'!$B$5:$B$210,$A49,'Test Cases'!$H$5:$H$210,"Not Run")</f>
        <v/>
      </c>
    </row>
    <row r="50">
      <c r="A50" s="6" t="inlineStr">
        <is>
          <t>Total</t>
        </is>
      </c>
      <c r="B50" s="6">
        <f>SUM(B30:B49)</f>
        <v/>
      </c>
      <c r="C50" s="6">
        <f>SUM(C30:C49)</f>
        <v/>
      </c>
      <c r="D50" s="6">
        <f>SUM(D30:D49)</f>
        <v/>
      </c>
      <c r="E50" s="6">
        <f>SUM(E30:E49)</f>
        <v/>
      </c>
      <c r="F50" s="6">
        <f>SUM(F30:F49)</f>
        <v/>
      </c>
    </row>
    <row r="52">
      <c r="A52" s="3" t="inlineStr">
        <is>
          <t>Priority</t>
        </is>
      </c>
      <c r="B52" s="3" t="inlineStr">
        <is>
          <t>Cases</t>
        </is>
      </c>
      <c r="C52" s="3" t="inlineStr">
        <is>
          <t>Pass</t>
        </is>
      </c>
      <c r="D52" s="3" t="inlineStr">
        <is>
          <t>Not Run / Blocked</t>
        </is>
      </c>
    </row>
    <row r="53">
      <c r="A53" s="4" t="inlineStr">
        <is>
          <t>P1</t>
        </is>
      </c>
      <c r="B53" s="4">
        <f>COUNTIF('Test Cases'!$J$5:$J$210,"P1")</f>
        <v/>
      </c>
      <c r="C53" s="4">
        <f>COUNTIFS('Test Cases'!$J$5:$J$210,"P1",'Test Cases'!$H$5:$H$210,"Pass")</f>
        <v/>
      </c>
      <c r="D53" s="4">
        <f>COUNTIFS('Test Cases'!$J$5:$J$210,"P1",'Test Cases'!$H$5:$H$210,"Not Run")+COUNTIFS('Test Cases'!$J$5:$J$210,"P1",'Test Cases'!$H$5:$H$210,"Blocked")</f>
        <v/>
      </c>
    </row>
    <row r="54">
      <c r="A54" s="4" t="inlineStr">
        <is>
          <t>P2</t>
        </is>
      </c>
      <c r="B54" s="4">
        <f>COUNTIF('Test Cases'!$J$5:$J$210,"P2")</f>
        <v/>
      </c>
      <c r="C54" s="4">
        <f>COUNTIFS('Test Cases'!$J$5:$J$210,"P2",'Test Cases'!$H$5:$H$210,"Pass")</f>
        <v/>
      </c>
      <c r="D54" s="4">
        <f>COUNTIFS('Test Cases'!$J$5:$J$210,"P2",'Test Cases'!$H$5:$H$210,"Not Run")+COUNTIFS('Test Cases'!$J$5:$J$210,"P2",'Test Cases'!$H$5:$H$210,"Blocked")</f>
        <v/>
      </c>
    </row>
    <row r="55">
      <c r="A55" s="4" t="inlineStr">
        <is>
          <t>P3</t>
        </is>
      </c>
      <c r="B55" s="4">
        <f>COUNTIF('Test Cases'!$J$5:$J$210,"P3")</f>
        <v/>
      </c>
      <c r="C55" s="4">
        <f>COUNTIFS('Test Cases'!$J$5:$J$210,"P3",'Test Cases'!$H$5:$H$210,"Pass")</f>
        <v/>
      </c>
      <c r="D55" s="4">
        <f>COUNTIFS('Test Cases'!$J$5:$J$210,"P3",'Test Cases'!$H$5:$H$210,"Not Run")+COUNTIFS('Test Cases'!$J$5:$J$210,"P3",'Test Cases'!$H$5:$H$210,"Blocked")</f>
        <v/>
      </c>
    </row>
    <row r="57">
      <c r="A57" s="3" t="inlineStr">
        <is>
          <t>Functional scenarios by epic</t>
        </is>
      </c>
      <c r="B57" s="3" t="inlineStr">
        <is>
          <t>Scenarios</t>
        </is>
      </c>
      <c r="C57" s="3" t="inlineStr">
        <is>
          <t>Pass</t>
        </is>
      </c>
      <c r="D57" s="3" t="inlineStr">
        <is>
          <t>Fail</t>
        </is>
      </c>
      <c r="E57" s="3" t="inlineStr">
        <is>
          <t>Not Run</t>
        </is>
      </c>
      <c r="F57" s="3" t="inlineStr">
        <is>
          <t>Pass rate</t>
        </is>
      </c>
    </row>
    <row r="58">
      <c r="A58" s="4" t="n"/>
      <c r="B58" s="4">
        <f>COUNTIF('Functional Test Cases'!$B$5:$B$139,A58)</f>
        <v/>
      </c>
      <c r="C58" s="4">
        <f>COUNTIFS('Functional Test Cases'!$B$5:$B$139,A58,'Functional Test Cases'!$J$5:$J$139,"Pass")</f>
        <v/>
      </c>
      <c r="D58" s="4">
        <f>COUNTIFS('Functional Test Cases'!$B$5:$B$139,A58,'Functional Test Cases'!$J$5:$J$139,"Fail")</f>
        <v/>
      </c>
      <c r="E58" s="4">
        <f>COUNTIFS('Functional Test Cases'!$B$5:$B$139,A58,'Functional Test Cases'!$J$5:$J$139,"Not Run")</f>
        <v/>
      </c>
      <c r="F58" s="5">
        <f>IF(B58=0,0,C58/B58)</f>
        <v/>
      </c>
    </row>
    <row r="59">
      <c r="A59" s="6" t="inlineStr">
        <is>
          <t>Total functional scenarios</t>
        </is>
      </c>
      <c r="B59" s="6">
        <f>SUM(B58:B58)</f>
        <v/>
      </c>
      <c r="C59" s="6">
        <f>SUM(C58:C58)</f>
        <v/>
      </c>
      <c r="D59" s="6">
        <f>SUM(D58:D58)</f>
        <v/>
      </c>
      <c r="E59" s="6">
        <f>SUM(E58:E58)</f>
        <v/>
      </c>
      <c r="F59" s="7">
        <f>IF(B59=0,0,C59/B59)</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39"/>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30" customWidth="1" min="3" max="3"/>
    <col width="22" customWidth="1" min="4" max="4"/>
    <col width="30" customWidth="1" min="5" max="5"/>
    <col width="36" customWidth="1" min="6" max="6"/>
    <col width="34" customWidth="1" min="7" max="7"/>
    <col width="40" customWidth="1" min="8" max="8"/>
    <col width="30" customWidth="1" min="9" max="9"/>
    <col width="9" customWidth="1" min="10" max="10"/>
    <col width="18" customWidth="1" min="11" max="11"/>
    <col width="8" customWidth="1" min="12" max="12"/>
    <col width="30" customWidth="1" min="13" max="13"/>
    <col width="10" customWidth="1" min="14" max="14"/>
    <col width="11" customWidth="1" min="15" max="15"/>
  </cols>
  <sheetData>
    <row r="1">
      <c r="A1" s="1" t="inlineStr">
        <is>
          <t>Functional test cases — business scenarios from user-story acceptance criteria (Given / When / Then)</t>
        </is>
      </c>
    </row>
    <row r="2">
      <c r="A2" s="2" t="inlineStr">
        <is>
          <t>Each scenario is executed by the automated functional acceptance suite (test/functional/*.test.js, one test per scenario, named "US-xxx · scenario") against the real API. Run 2026-10-08.</t>
        </is>
      </c>
    </row>
    <row r="4">
      <c r="A4" s="3" t="inlineStr">
        <is>
          <t>Functional TC ID</t>
        </is>
      </c>
      <c r="B4" s="3" t="inlineStr">
        <is>
          <t>Epic</t>
        </is>
      </c>
      <c r="C4" s="3" t="inlineStr">
        <is>
          <t>User Story</t>
        </is>
      </c>
      <c r="D4" s="3" t="inlineStr">
        <is>
          <t>Persona / Actor</t>
        </is>
      </c>
      <c r="E4" s="3" t="inlineStr">
        <is>
          <t>Test Scenario</t>
        </is>
      </c>
      <c r="F4" s="3" t="inlineStr">
        <is>
          <t>Pre-conditions (Given)</t>
        </is>
      </c>
      <c r="G4" s="3" t="inlineStr">
        <is>
          <t>Test Steps (When)</t>
        </is>
      </c>
      <c r="H4" s="3" t="inlineStr">
        <is>
          <t>Expected Result (Then)</t>
        </is>
      </c>
      <c r="I4" s="3" t="inlineStr">
        <is>
          <t>Actual Result</t>
        </is>
      </c>
      <c r="J4" s="3" t="inlineStr">
        <is>
          <t>Status</t>
        </is>
      </c>
      <c r="K4" s="3" t="inlineStr">
        <is>
          <t>Requirement (FR)</t>
        </is>
      </c>
      <c r="L4" s="3" t="inlineStr">
        <is>
          <t>Priority</t>
        </is>
      </c>
      <c r="M4" s="3" t="inlineStr">
        <is>
          <t>Automated test</t>
        </is>
      </c>
      <c r="N4" s="3" t="inlineStr">
        <is>
          <t>Duration (ms)</t>
        </is>
      </c>
      <c r="O4" s="3" t="inlineStr">
        <is>
          <t>Executed On</t>
        </is>
      </c>
    </row>
    <row r="5">
      <c r="A5" s="8" t="inlineStr">
        <is>
          <t>FTC-001</t>
        </is>
      </c>
      <c r="B5" s="8" t="n"/>
      <c r="C5" s="8" t="inlineStr">
        <is>
          <t>None: None</t>
        </is>
      </c>
      <c r="D5" s="8" t="n"/>
      <c r="E5" s="8" t="inlineStr">
        <is>
          <t>Duplicate records for the same vehicle merge into one golden profile</t>
        </is>
      </c>
      <c r="F5" s="8" t="inlineStr">
        <is>
          <t>Given a VETC account record with plate "30a-123.45" and phone "+84912345678"
And a bank partner record with plate "30A 12345" and phone "0912 345 678"</t>
        </is>
      </c>
      <c r="G5" s="8" t="inlineStr">
        <is>
          <t>When both records are ingested in one batch from the bank partner source</t>
        </is>
      </c>
      <c r="H5" s="8" t="inlineStr">
        <is>
          <t>Then exactly one profile exists with key "30A12345" and plate "30A-123.45"
And its phone is "0912345678"
And its sources include the VETC account and the bank partner</t>
        </is>
      </c>
      <c r="I5" s="8" t="inlineStr">
        <is>
          <t>No automated scenario — schedule in UAT.</t>
        </is>
      </c>
      <c r="J5" s="8" t="inlineStr">
        <is>
          <t>Not Run</t>
        </is>
      </c>
      <c r="K5" s="8" t="n"/>
      <c r="L5" s="8" t="n"/>
      <c r="M5" s="8" t="inlineStr">
        <is>
          <t>Manual</t>
        </is>
      </c>
      <c r="N5" s="8" t="n"/>
      <c r="O5" s="8" t="inlineStr"/>
    </row>
    <row r="6">
      <c r="A6" s="8" t="inlineStr">
        <is>
          <t>FTC-002</t>
        </is>
      </c>
      <c r="B6" s="8" t="n"/>
      <c r="C6" s="8" t="inlineStr">
        <is>
          <t>None: None</t>
        </is>
      </c>
      <c r="D6" s="8" t="n"/>
      <c r="E6" s="8" t="inlineStr">
        <is>
          <t>Invalid plate is rejected and raised as a DQ issue</t>
        </is>
      </c>
      <c r="F6" s="8" t="inlineStr">
        <is>
          <t>Given a record with plate "30-12345"</t>
        </is>
      </c>
      <c r="G6" s="8" t="inlineStr">
        <is>
          <t>When the batch is ingested</t>
        </is>
      </c>
      <c r="H6" s="8" t="inlineStr">
        <is>
          <t>Then the result reports 1 rejected record
And an open "Invalid plate" data issue exists for that record</t>
        </is>
      </c>
      <c r="I6" s="8" t="inlineStr">
        <is>
          <t>No automated scenario — schedule in UAT.</t>
        </is>
      </c>
      <c r="J6" s="8" t="inlineStr">
        <is>
          <t>Not Run</t>
        </is>
      </c>
      <c r="K6" s="8" t="n"/>
      <c r="L6" s="8" t="n"/>
      <c r="M6" s="8" t="inlineStr">
        <is>
          <t>Manual</t>
        </is>
      </c>
      <c r="N6" s="8" t="n"/>
      <c r="O6" s="8" t="inlineStr"/>
    </row>
    <row r="7">
      <c r="A7" s="8" t="inlineStr">
        <is>
          <t>FTC-003</t>
        </is>
      </c>
      <c r="B7" s="8" t="n"/>
      <c r="C7" s="8" t="inlineStr">
        <is>
          <t>None: None</t>
        </is>
      </c>
      <c r="D7" s="8" t="n"/>
      <c r="E7" s="8" t="inlineStr">
        <is>
          <t>Batch size limit</t>
        </is>
      </c>
      <c r="F7" s="8" t="inlineStr">
        <is>
          <t>—</t>
        </is>
      </c>
      <c r="G7" s="8" t="inlineStr">
        <is>
          <t>When a batch of 5,001 records is submitted</t>
        </is>
      </c>
      <c r="H7" s="8" t="inlineStr">
        <is>
          <t>Then it is rejected with a validation error</t>
        </is>
      </c>
      <c r="I7" s="8" t="inlineStr">
        <is>
          <t>No automated scenario — schedule in UAT.</t>
        </is>
      </c>
      <c r="J7" s="8" t="inlineStr">
        <is>
          <t>Not Run</t>
        </is>
      </c>
      <c r="K7" s="8" t="n"/>
      <c r="L7" s="8" t="n"/>
      <c r="M7" s="8" t="inlineStr">
        <is>
          <t>Manual</t>
        </is>
      </c>
      <c r="N7" s="8" t="n"/>
      <c r="O7" s="8" t="inlineStr"/>
    </row>
    <row r="8">
      <c r="A8" s="8" t="inlineStr">
        <is>
          <t>FTC-004</t>
        </is>
      </c>
      <c r="B8" s="8" t="n"/>
      <c r="C8" s="8" t="inlineStr">
        <is>
          <t>None: None</t>
        </is>
      </c>
      <c r="D8" s="8" t="n"/>
      <c r="E8" s="8" t="inlineStr">
        <is>
          <t>Verified certificate wins</t>
        </is>
      </c>
      <c r="F8" s="8" t="inlineStr">
        <is>
          <t>Given a vehicle with a verified certificate expiring 01/03/2027 and an inspection-cycle estimate of 10/03/2027</t>
        </is>
      </c>
      <c r="G8" s="8" t="inlineStr">
        <is>
          <t>When the profile is built</t>
        </is>
      </c>
      <c r="H8" s="8" t="inlineStr">
        <is>
          <t>Then the expiry date is 01/03/2027
And the method is "Verified certificate" with confidence 1.0</t>
        </is>
      </c>
      <c r="I8" s="8" t="inlineStr">
        <is>
          <t>No automated scenario — schedule in UAT.</t>
        </is>
      </c>
      <c r="J8" s="8" t="inlineStr">
        <is>
          <t>Not Run</t>
        </is>
      </c>
      <c r="K8" s="8" t="n"/>
      <c r="L8" s="8" t="n"/>
      <c r="M8" s="8" t="inlineStr">
        <is>
          <t>Manual</t>
        </is>
      </c>
      <c r="N8" s="8" t="n"/>
      <c r="O8" s="8" t="inlineStr"/>
    </row>
    <row r="9">
      <c r="A9" s="8" t="inlineStr">
        <is>
          <t>FTC-005</t>
        </is>
      </c>
      <c r="B9" s="8" t="n"/>
      <c r="C9" s="8" t="inlineStr">
        <is>
          <t>None: None</t>
        </is>
      </c>
      <c r="D9" s="8" t="n"/>
      <c r="E9" s="8" t="inlineStr">
        <is>
          <t>Agreeing weak evidence is corroborated</t>
        </is>
      </c>
      <c r="F9" s="8" t="inlineStr">
        <is>
          <t>Given only an inspection-cycle estimate (0.5) and a tag-anniversary estimate (0.25) within 21 days of each other</t>
        </is>
      </c>
      <c r="G9" s="8" t="inlineStr">
        <is>
          <t>When the profile is built</t>
        </is>
      </c>
      <c r="H9" s="8" t="inlineStr">
        <is>
          <t>Then the chosen method is "Inspection cycle"
And confidence is 0.65</t>
        </is>
      </c>
      <c r="I9" s="8" t="inlineStr">
        <is>
          <t>No automated scenario — schedule in UAT.</t>
        </is>
      </c>
      <c r="J9" s="8" t="inlineStr">
        <is>
          <t>Not Run</t>
        </is>
      </c>
      <c r="K9" s="8" t="n"/>
      <c r="L9" s="8" t="n"/>
      <c r="M9" s="8" t="inlineStr">
        <is>
          <t>Manual</t>
        </is>
      </c>
      <c r="N9" s="8" t="n"/>
      <c r="O9" s="8" t="inlineStr"/>
    </row>
    <row r="10">
      <c r="A10" s="8" t="inlineStr">
        <is>
          <t>FTC-006</t>
        </is>
      </c>
      <c r="B10" s="8" t="n"/>
      <c r="C10" s="8" t="inlineStr">
        <is>
          <t>None: None</t>
        </is>
      </c>
      <c r="D10" s="8" t="n"/>
      <c r="E10" s="8" t="inlineStr">
        <is>
          <t>Lineage shows the evidence</t>
        </is>
      </c>
      <c r="F10" s="8" t="inlineStr">
        <is>
          <t>—</t>
        </is>
      </c>
      <c r="G10" s="8" t="inlineStr">
        <is>
          <t>When I open the vehicle's data lineage</t>
        </is>
      </c>
      <c r="H10" s="8" t="inlineStr">
        <is>
          <t>Then the expiry date shows its source and confidence</t>
        </is>
      </c>
      <c r="I10" s="8" t="inlineStr">
        <is>
          <t>No automated scenario — schedule in UAT.</t>
        </is>
      </c>
      <c r="J10" s="8" t="inlineStr">
        <is>
          <t>Not Run</t>
        </is>
      </c>
      <c r="K10" s="8" t="n"/>
      <c r="L10" s="8" t="n"/>
      <c r="M10" s="8" t="inlineStr">
        <is>
          <t>Manual</t>
        </is>
      </c>
      <c r="N10" s="8" t="n"/>
      <c r="O10" s="8" t="inlineStr"/>
    </row>
    <row r="11">
      <c r="A11" s="8" t="inlineStr">
        <is>
          <t>FTC-007</t>
        </is>
      </c>
      <c r="B11" s="8" t="n"/>
      <c r="C11" s="8" t="inlineStr">
        <is>
          <t>None: None</t>
        </is>
      </c>
      <c r="D11" s="8" t="n"/>
      <c r="E11" s="8" t="inlineStr">
        <is>
          <t>Correction requires evidence and is audited</t>
        </is>
      </c>
      <c r="F11" s="8" t="inlineStr">
        <is>
          <t>Given I am allowed to update profiles</t>
        </is>
      </c>
      <c r="G11" s="8" t="inlineStr">
        <is>
          <t>When I correct the expiry of 30A12345 to 10/05/2027, insurer "PVI", evidence "photo of certificate via hotline"</t>
        </is>
      </c>
      <c r="H11" s="8" t="inlineStr">
        <is>
          <t>Then the profile expiry is 10/05/2027 with confidence 0.9
And the audit trail records the correction with my user and the evidence text
And the lead is recomputed at once</t>
        </is>
      </c>
      <c r="I11" s="8" t="inlineStr">
        <is>
          <t>No automated scenario — schedule in UAT.</t>
        </is>
      </c>
      <c r="J11" s="8" t="inlineStr">
        <is>
          <t>Not Run</t>
        </is>
      </c>
      <c r="K11" s="8" t="n"/>
      <c r="L11" s="8" t="n"/>
      <c r="M11" s="8" t="inlineStr">
        <is>
          <t>Manual</t>
        </is>
      </c>
      <c r="N11" s="8" t="n"/>
      <c r="O11" s="8" t="inlineStr"/>
    </row>
    <row r="12">
      <c r="A12" s="8" t="inlineStr">
        <is>
          <t>FTC-008</t>
        </is>
      </c>
      <c r="B12" s="8" t="n"/>
      <c r="C12" s="8" t="inlineStr">
        <is>
          <t>None: None</t>
        </is>
      </c>
      <c r="D12" s="8" t="n"/>
      <c r="E12" s="8" t="inlineStr">
        <is>
          <t>Missing evidence</t>
        </is>
      </c>
      <c r="F12" s="8" t="inlineStr">
        <is>
          <t>—</t>
        </is>
      </c>
      <c r="G12" s="8" t="inlineStr">
        <is>
          <t>When I save a correction without evidence</t>
        </is>
      </c>
      <c r="H12" s="8" t="inlineStr">
        <is>
          <t>Then the correction is refused as invalid</t>
        </is>
      </c>
      <c r="I12" s="8" t="inlineStr">
        <is>
          <t>No automated scenario — schedule in UAT.</t>
        </is>
      </c>
      <c r="J12" s="8" t="inlineStr">
        <is>
          <t>Not Run</t>
        </is>
      </c>
      <c r="K12" s="8" t="n"/>
      <c r="L12" s="8" t="n"/>
      <c r="M12" s="8" t="inlineStr">
        <is>
          <t>Manual</t>
        </is>
      </c>
      <c r="N12" s="8" t="n"/>
      <c r="O12" s="8" t="inlineStr"/>
    </row>
    <row r="13">
      <c r="A13" s="8" t="inlineStr">
        <is>
          <t>FTC-009</t>
        </is>
      </c>
      <c r="B13" s="8" t="n"/>
      <c r="C13" s="8" t="inlineStr">
        <is>
          <t>None: None</t>
        </is>
      </c>
      <c r="D13" s="8" t="n"/>
      <c r="E13" s="8" t="inlineStr">
        <is>
          <t>Filter and resolve</t>
        </is>
      </c>
      <c r="F13" s="8" t="inlineStr">
        <is>
          <t>Given open issues of types "Unreliable expiry date" and "Conflicting phone numbers"</t>
        </is>
      </c>
      <c r="G13" s="8" t="inlineStr">
        <is>
          <t>When I filter the queue by "Conflicting phone numbers"
When I resolve one with the note "confirmed primary number by call"</t>
        </is>
      </c>
      <c r="H13" s="8" t="inlineStr">
        <is>
          <t>Then only those issues are listed, with a count by type
Then its status is "Resolved" with my name and the time</t>
        </is>
      </c>
      <c r="I13" s="8" t="inlineStr">
        <is>
          <t>No automated scenario — schedule in UAT.</t>
        </is>
      </c>
      <c r="J13" s="8" t="inlineStr">
        <is>
          <t>Not Run</t>
        </is>
      </c>
      <c r="K13" s="8" t="n"/>
      <c r="L13" s="8" t="n"/>
      <c r="M13" s="8" t="inlineStr">
        <is>
          <t>Manual</t>
        </is>
      </c>
      <c r="N13" s="8" t="n"/>
      <c r="O13" s="8" t="inlineStr"/>
    </row>
    <row r="14">
      <c r="A14" s="8" t="inlineStr">
        <is>
          <t>FTC-010</t>
        </is>
      </c>
      <c r="B14" s="8" t="n"/>
      <c r="C14" s="8" t="inlineStr">
        <is>
          <t>None: None</t>
        </is>
      </c>
      <c r="D14" s="8" t="n"/>
      <c r="E14" s="8" t="inlineStr">
        <is>
          <t>Customer declaration beats a weaker reload</t>
        </is>
      </c>
      <c r="F14" s="8" t="inlineStr">
        <is>
          <t>Given a customer declared expiry 15/01/2027 (customer declaration, 0.75)</t>
        </is>
      </c>
      <c r="G14" s="8" t="inlineStr">
        <is>
          <t>When the nightly VETC batch reloads that plate with only a tag-anniversary estimate (0.25)</t>
        </is>
      </c>
      <c r="H14" s="8" t="inlineStr">
        <is>
          <t>Then the profile keeps expiry 15/01/2027 from the customer declaration</t>
        </is>
      </c>
      <c r="I14" s="8" t="inlineStr">
        <is>
          <t>No automated scenario — schedule in UAT.</t>
        </is>
      </c>
      <c r="J14" s="8" t="inlineStr">
        <is>
          <t>Not Run</t>
        </is>
      </c>
      <c r="K14" s="8" t="n"/>
      <c r="L14" s="8" t="n"/>
      <c r="M14" s="8" t="inlineStr">
        <is>
          <t>Manual</t>
        </is>
      </c>
      <c r="N14" s="8" t="n"/>
      <c r="O14" s="8" t="inlineStr"/>
    </row>
    <row r="15">
      <c r="A15" s="8" t="inlineStr">
        <is>
          <t>FTC-011</t>
        </is>
      </c>
      <c r="B15" s="8" t="n"/>
      <c r="C15" s="8" t="inlineStr">
        <is>
          <t>None: None</t>
        </is>
      </c>
      <c r="D15" s="8" t="n"/>
      <c r="E15" s="8" t="inlineStr">
        <is>
          <t>Consent withdrawal survives reload</t>
        </is>
      </c>
      <c r="F15" s="8" t="inlineStr">
        <is>
          <t>Given the customer withdrew call consent in the consent centre</t>
        </is>
      </c>
      <c r="G15" s="8" t="inlineStr">
        <is>
          <t>When the source batch says call consent is given</t>
        </is>
      </c>
      <c r="H15" s="8" t="inlineStr">
        <is>
          <t>Then the profile's call consent remains withdrawn</t>
        </is>
      </c>
      <c r="I15" s="8" t="inlineStr">
        <is>
          <t>No automated scenario — schedule in UAT.</t>
        </is>
      </c>
      <c r="J15" s="8" t="inlineStr">
        <is>
          <t>Not Run</t>
        </is>
      </c>
      <c r="K15" s="8" t="n"/>
      <c r="L15" s="8" t="n"/>
      <c r="M15" s="8" t="inlineStr">
        <is>
          <t>Manual</t>
        </is>
      </c>
      <c r="N15" s="8" t="n"/>
      <c r="O15" s="8" t="inlineStr"/>
    </row>
    <row r="16">
      <c r="A16" s="8" t="inlineStr">
        <is>
          <t>FTC-012</t>
        </is>
      </c>
      <c r="B16" s="8" t="n"/>
      <c r="C16" s="8" t="inlineStr">
        <is>
          <t>None: None</t>
        </is>
      </c>
      <c r="D16" s="8" t="n"/>
      <c r="E16" s="8" t="inlineStr">
        <is>
          <t>Declared seats beat toll class</t>
        </is>
      </c>
      <c r="F16" s="8" t="inlineStr">
        <is>
          <t>Given a vehicle with 7 declared seats and toll class 1, personal use</t>
        </is>
      </c>
      <c r="G16" s="8" t="inlineStr">
        <is>
          <t>—</t>
        </is>
      </c>
      <c r="H16" s="8" t="inlineStr">
        <is>
          <t>Then its category is "Car 6–11 seats (non-commercial)" with confidence 0.85
And its lead premium is VND 873,400 including VAT for 365 days</t>
        </is>
      </c>
      <c r="I16" s="8" t="inlineStr">
        <is>
          <t>No automated scenario — schedule in UAT.</t>
        </is>
      </c>
      <c r="J16" s="8" t="inlineStr">
        <is>
          <t>Not Run</t>
        </is>
      </c>
      <c r="K16" s="8" t="n"/>
      <c r="L16" s="8" t="n"/>
      <c r="M16" s="8" t="inlineStr">
        <is>
          <t>Manual</t>
        </is>
      </c>
      <c r="N16" s="8" t="n"/>
      <c r="O16" s="8" t="inlineStr"/>
    </row>
    <row r="17">
      <c r="A17" s="8" t="inlineStr">
        <is>
          <t>FTC-013</t>
        </is>
      </c>
      <c r="B17" s="8" t="n"/>
      <c r="C17" s="8" t="inlineStr">
        <is>
          <t>None: None</t>
        </is>
      </c>
      <c r="D17" s="8" t="n"/>
      <c r="E17" s="8" t="inlineStr">
        <is>
          <t>Toll class only</t>
        </is>
      </c>
      <c r="F17" s="8" t="inlineStr">
        <is>
          <t>Given a vehicle with toll class 1 and no seats</t>
        </is>
      </c>
      <c r="G17" s="8" t="inlineStr">
        <is>
          <t>—</t>
        </is>
      </c>
      <c r="H17" s="8" t="inlineStr">
        <is>
          <t>Then its category is "Car &lt; 6 seats (non-commercial)" with confidence 0.55
And an "Uncertain vehicle category" data issue is open</t>
        </is>
      </c>
      <c r="I17" s="8" t="inlineStr">
        <is>
          <t>No automated scenario — schedule in UAT.</t>
        </is>
      </c>
      <c r="J17" s="8" t="inlineStr">
        <is>
          <t>Not Run</t>
        </is>
      </c>
      <c r="K17" s="8" t="n"/>
      <c r="L17" s="8" t="n"/>
      <c r="M17" s="8" t="inlineStr">
        <is>
          <t>Manual</t>
        </is>
      </c>
      <c r="N17" s="8" t="n"/>
      <c r="O17" s="8" t="inlineStr"/>
    </row>
    <row r="18">
      <c r="A18" s="8" t="inlineStr">
        <is>
          <t>FTC-014</t>
        </is>
      </c>
      <c r="B18" s="8" t="n"/>
      <c r="C18" s="8" t="inlineStr">
        <is>
          <t>None: None</t>
        </is>
      </c>
      <c r="D18" s="8" t="n"/>
      <c r="E18" s="8" t="inlineStr">
        <is>
          <t>Score, tier and reasons</t>
        </is>
      </c>
      <c r="F18" s="8" t="inlineStr">
        <is>
          <t>Given a TASCO customer expiring in 10 days, expiry confidence 1.0, 8 app sessions, push enabled and call consent</t>
        </is>
      </c>
      <c r="G18" s="8" t="inlineStr">
        <is>
          <t>When leads are computed</t>
        </is>
      </c>
      <c r="H18" s="8" t="inlineStr">
        <is>
          <t>Then the score is between 0 and 100 and the tier is "Hot" when the score is 70 or more
And each factor shows points, maximum and a reason such as "expires in 10 days"</t>
        </is>
      </c>
      <c r="I18" s="8" t="inlineStr">
        <is>
          <t>No automated scenario — schedule in UAT.</t>
        </is>
      </c>
      <c r="J18" s="8" t="inlineStr">
        <is>
          <t>Not Run</t>
        </is>
      </c>
      <c r="K18" s="8" t="n"/>
      <c r="L18" s="8" t="n"/>
      <c r="M18" s="8" t="inlineStr">
        <is>
          <t>Manual</t>
        </is>
      </c>
      <c r="N18" s="8" t="n"/>
      <c r="O18" s="8" t="inlineStr"/>
    </row>
    <row r="19">
      <c r="A19" s="8" t="inlineStr">
        <is>
          <t>FTC-015</t>
        </is>
      </c>
      <c r="B19" s="8" t="n"/>
      <c r="C19" s="8" t="inlineStr">
        <is>
          <t>None: None</t>
        </is>
      </c>
      <c r="D19" s="8" t="n"/>
      <c r="E19" s="8" t="inlineStr">
        <is>
          <t>Do-not-contact zeroes the score</t>
        </is>
      </c>
      <c r="F19" s="8" t="inlineStr">
        <is>
          <t>Given the same customer is on the do-not-contact list</t>
        </is>
      </c>
      <c r="G19" s="8" t="inlineStr">
        <is>
          <t>—</t>
        </is>
      </c>
      <c r="H19" s="8" t="inlineStr">
        <is>
          <t>Then the score is 0 and the next best action is "Do not contact"</t>
        </is>
      </c>
      <c r="I19" s="8" t="inlineStr">
        <is>
          <t>No automated scenario — schedule in UAT.</t>
        </is>
      </c>
      <c r="J19" s="8" t="inlineStr">
        <is>
          <t>Not Run</t>
        </is>
      </c>
      <c r="K19" s="8" t="n"/>
      <c r="L19" s="8" t="n"/>
      <c r="M19" s="8" t="inlineStr">
        <is>
          <t>Manual</t>
        </is>
      </c>
      <c r="N19" s="8" t="n"/>
      <c r="O19" s="8" t="inlineStr"/>
    </row>
    <row r="20">
      <c r="A20" s="8" t="inlineStr">
        <is>
          <t>FTC-016</t>
        </is>
      </c>
      <c r="B20" s="8" t="n"/>
      <c r="C20" s="8" t="inlineStr">
        <is>
          <t>None: None</t>
        </is>
      </c>
      <c r="D20" s="8" t="n"/>
      <c r="E20" s="8" t="inlineStr">
        <is>
          <t>Filtering</t>
        </is>
      </c>
      <c r="F20" s="8" t="inlineStr">
        <is>
          <t>—</t>
        </is>
      </c>
      <c r="G20" s="8" t="inlineStr">
        <is>
          <t>When I filter for hot leads expiring within 30 days, sorted by score</t>
        </is>
      </c>
      <c r="H20" s="8" t="inlineStr">
        <is>
          <t>Then only hot leads with 30 days or fewer to expiry are listed, highest score first</t>
        </is>
      </c>
      <c r="I20" s="8" t="inlineStr">
        <is>
          <t>No automated scenario — schedule in UAT.</t>
        </is>
      </c>
      <c r="J20" s="8" t="inlineStr">
        <is>
          <t>Not Run</t>
        </is>
      </c>
      <c r="K20" s="8" t="n"/>
      <c r="L20" s="8" t="n"/>
      <c r="M20" s="8" t="inlineStr">
        <is>
          <t>Manual</t>
        </is>
      </c>
      <c r="N20" s="8" t="n"/>
      <c r="O20" s="8" t="inlineStr"/>
    </row>
    <row r="21">
      <c r="A21" s="8" t="inlineStr">
        <is>
          <t>FTC-017</t>
        </is>
      </c>
      <c r="B21" s="8" t="n"/>
      <c r="C21" s="8" t="inlineStr">
        <is>
          <t>None: None</t>
        </is>
      </c>
      <c r="D21" s="8" t="n"/>
      <c r="E21" s="8" t="inlineStr">
        <is>
          <t>First matching NBA rule wins</t>
        </is>
      </c>
      <c r="F21" s="8" t="inlineStr">
        <is>
          <t>Given a lead with &lt;facts&gt;</t>
        </is>
      </c>
      <c r="G21" s="8" t="inlineStr">
        <is>
          <t>—</t>
        </is>
      </c>
      <c r="H21" s="8" t="inlineStr">
        <is>
          <t>Then the next best action is "&lt;action&gt;"
| facts                                          | action                          |
| on the do-not-contact list                     | Do not contact                  |
| owned by a company                             | Route to fleet / B2B team       |
| expiry confidence 0.3                          | Ask customer to confirm expiry  |
| new-vehicle journey, confidence 0.8            | Welcome new vehicle             |
| 60 days to expiry, confidence 0.8              | Schedule reminders              |
| uninsured recovery journey                     | Urgent: vehicle uninsured       |
| hot, call consent, has phone, 20 days          | AI voice assistant → telesales  |
| warm, app push enabled, 20 days                | One-tap renew link (app / Zalo) |
| phone only, 20 days                            | SMS reminder                    |
| no phone, app or Zalo, 20 days                 | Find a contact channel          |</t>
        </is>
      </c>
      <c r="I21" s="8" t="inlineStr">
        <is>
          <t>No automated scenario — schedule in UAT.</t>
        </is>
      </c>
      <c r="J21" s="8" t="inlineStr">
        <is>
          <t>Not Run</t>
        </is>
      </c>
      <c r="K21" s="8" t="n"/>
      <c r="L21" s="8" t="n"/>
      <c r="M21" s="8" t="inlineStr">
        <is>
          <t>Manual</t>
        </is>
      </c>
      <c r="N21" s="8" t="n"/>
      <c r="O21" s="8" t="inlineStr"/>
    </row>
    <row r="22">
      <c r="A22" s="8" t="inlineStr">
        <is>
          <t>FTC-018</t>
        </is>
      </c>
      <c r="B22" s="8" t="n"/>
      <c r="C22" s="8" t="inlineStr">
        <is>
          <t>None: None</t>
        </is>
      </c>
      <c r="D22" s="8" t="n"/>
      <c r="E22" s="8" t="inlineStr">
        <is>
          <t>Region scoping</t>
        </is>
      </c>
      <c r="F22" s="8" t="inlineStr">
        <is>
          <t>Given I am "agent.hn" with region "Hà Nội" and no dashboard access</t>
        </is>
      </c>
      <c r="G22" s="8" t="inlineStr">
        <is>
          <t>When I filter leads for "TP. Hồ Chí Minh"</t>
        </is>
      </c>
      <c r="H22" s="8" t="inlineStr">
        <is>
          <t>Then only leads in "Hà Nội" are returned</t>
        </is>
      </c>
      <c r="I22" s="8" t="inlineStr">
        <is>
          <t>No automated scenario — schedule in UAT.</t>
        </is>
      </c>
      <c r="J22" s="8" t="inlineStr">
        <is>
          <t>Not Run</t>
        </is>
      </c>
      <c r="K22" s="8" t="n"/>
      <c r="L22" s="8" t="n"/>
      <c r="M22" s="8" t="inlineStr">
        <is>
          <t>Manual</t>
        </is>
      </c>
      <c r="N22" s="8" t="n"/>
      <c r="O22" s="8" t="inlineStr"/>
    </row>
    <row r="23">
      <c r="A23" s="8" t="inlineStr">
        <is>
          <t>FTC-019</t>
        </is>
      </c>
      <c r="B23" s="8" t="n"/>
      <c r="C23" s="8" t="inlineStr">
        <is>
          <t>None: None</t>
        </is>
      </c>
      <c r="D23" s="8" t="n"/>
      <c r="E23" s="8" t="inlineStr">
        <is>
          <t>Profile outside region</t>
        </is>
      </c>
      <c r="F23" s="8" t="inlineStr">
        <is>
          <t>—</t>
        </is>
      </c>
      <c r="G23" s="8" t="inlineStr">
        <is>
          <t>When I open a customer in "TP. Hồ Chí Minh"</t>
        </is>
      </c>
      <c r="H23" s="8" t="inlineStr">
        <is>
          <t>Then access is refused under the regional data policy</t>
        </is>
      </c>
      <c r="I23" s="8" t="inlineStr">
        <is>
          <t>No automated scenario — schedule in UAT.</t>
        </is>
      </c>
      <c r="J23" s="8" t="inlineStr">
        <is>
          <t>Not Run</t>
        </is>
      </c>
      <c r="K23" s="8" t="n"/>
      <c r="L23" s="8" t="n"/>
      <c r="M23" s="8" t="inlineStr">
        <is>
          <t>Manual</t>
        </is>
      </c>
      <c r="N23" s="8" t="n"/>
      <c r="O23" s="8" t="inlineStr"/>
    </row>
    <row r="24">
      <c r="A24" s="8" t="inlineStr">
        <is>
          <t>FTC-020</t>
        </is>
      </c>
      <c r="B24" s="8" t="n"/>
      <c r="C24" s="8" t="inlineStr">
        <is>
          <t>None: None</t>
        </is>
      </c>
      <c r="D24" s="8" t="n"/>
      <c r="E24" s="8" t="inlineStr">
        <is>
          <t>Purchase stops journeys</t>
        </is>
      </c>
      <c r="F24" s="8" t="inlineStr">
        <is>
          <t>Given I have renewal touchpoints scheduled</t>
        </is>
      </c>
      <c r="G24" s="8" t="inlineStr">
        <is>
          <t>When a TNDS policy is issued to me</t>
        </is>
      </c>
      <c r="H24" s="8" t="inlineStr">
        <is>
          <t>Then my lead has no journey and the action "Insured"
And any touchpoint that falls due later is cancelled with reason "already insured with TASCO"</t>
        </is>
      </c>
      <c r="I24" s="8" t="inlineStr">
        <is>
          <t>No automated scenario — schedule in UAT.</t>
        </is>
      </c>
      <c r="J24" s="8" t="inlineStr">
        <is>
          <t>Not Run</t>
        </is>
      </c>
      <c r="K24" s="8" t="n"/>
      <c r="L24" s="8" t="n"/>
      <c r="M24" s="8" t="inlineStr">
        <is>
          <t>Manual</t>
        </is>
      </c>
      <c r="N24" s="8" t="n"/>
      <c r="O24" s="8" t="inlineStr"/>
    </row>
    <row r="25">
      <c r="A25" s="8" t="inlineStr">
        <is>
          <t>FTC-021</t>
        </is>
      </c>
      <c r="B25" s="8" t="n"/>
      <c r="C25" s="8" t="inlineStr">
        <is>
          <t>None: None</t>
        </is>
      </c>
      <c r="D25" s="8" t="n"/>
      <c r="E25" s="8" t="inlineStr">
        <is>
          <t>Recompute</t>
        </is>
      </c>
      <c r="F25" s="8" t="inlineStr">
        <is>
          <t>Given I am allowed to recompute leads</t>
        </is>
      </c>
      <c r="G25" s="8" t="inlineStr">
        <is>
          <t>When I start a recompute</t>
        </is>
      </c>
      <c r="H25" s="8" t="inlineStr">
        <is>
          <t>Then every profile that is not anonymised is re-evaluated with the active rules
And the audit trail records the recompute with the count
And leads whose journey or tier changed have their touchpoints re-planned</t>
        </is>
      </c>
      <c r="I25" s="8" t="inlineStr">
        <is>
          <t>No automated scenario — schedule in UAT.</t>
        </is>
      </c>
      <c r="J25" s="8" t="inlineStr">
        <is>
          <t>Not Run</t>
        </is>
      </c>
      <c r="K25" s="8" t="n"/>
      <c r="L25" s="8" t="n"/>
      <c r="M25" s="8" t="inlineStr">
        <is>
          <t>Manual</t>
        </is>
      </c>
      <c r="N25" s="8" t="n"/>
      <c r="O25" s="8" t="inlineStr"/>
    </row>
    <row r="26">
      <c r="A26" s="8" t="inlineStr">
        <is>
          <t>FTC-022</t>
        </is>
      </c>
      <c r="B26" s="8" t="n"/>
      <c r="C26" s="8" t="inlineStr">
        <is>
          <t>None: None</t>
        </is>
      </c>
      <c r="D26" s="8" t="n"/>
      <c r="E26" s="8" t="inlineStr">
        <is>
          <t>Renewal cadence is planned from expiry</t>
        </is>
      </c>
      <c r="F26" s="8" t="inlineStr">
        <is>
          <t>Given my insurer is TASCO and my expiry is 60 days from today</t>
        </is>
      </c>
      <c r="G26" s="8" t="inlineStr">
        <is>
          <t>When my lead is computed</t>
        </is>
      </c>
      <c r="H26" s="8" t="inlineStr">
        <is>
          <t>Then touchpoints are planned at 45 days before expiry (verify expiry), 30 (first reminder), 21 (value reminder), 7 (urgent reminder) and 0 (expiry day)
And an assistant call at 14 days exists only if my tier is hot or warm
And a telesales call at 3 days exists only if my tier is hot</t>
        </is>
      </c>
      <c r="I26" s="8" t="inlineStr">
        <is>
          <t>No automated scenario — schedule in UAT.</t>
        </is>
      </c>
      <c r="J26" s="8" t="inlineStr">
        <is>
          <t>Not Run</t>
        </is>
      </c>
      <c r="K26" s="8" t="n"/>
      <c r="L26" s="8" t="n"/>
      <c r="M26" s="8" t="inlineStr">
        <is>
          <t>Manual</t>
        </is>
      </c>
      <c r="N26" s="8" t="n"/>
      <c r="O26" s="8" t="inlineStr"/>
    </row>
    <row r="27">
      <c r="A27" s="8" t="inlineStr">
        <is>
          <t>FTC-023</t>
        </is>
      </c>
      <c r="B27" s="8" t="n"/>
      <c r="C27" s="8" t="inlineStr">
        <is>
          <t>None: None</t>
        </is>
      </c>
      <c r="D27" s="8" t="n"/>
      <c r="E27" s="8" t="inlineStr">
        <is>
          <t>App push first, then fallback</t>
        </is>
      </c>
      <c r="F27" s="8" t="inlineStr">
        <is>
          <t>Given a first reminder is due on app push, Zalo ZNS and SMS, and I have push disabled but Zalo linked</t>
        </is>
      </c>
      <c r="G27" s="8" t="inlineStr">
        <is>
          <t>When the journey run executes</t>
        </is>
      </c>
      <c r="H27" s="8" t="inlineStr">
        <is>
          <t>Then the message is sent on Zalo ZNS in Vietnamese with my plate, my expiry as dd/mm/yyyy and a signed link</t>
        </is>
      </c>
      <c r="I27" s="8" t="inlineStr">
        <is>
          <t>No automated scenario — schedule in UAT.</t>
        </is>
      </c>
      <c r="J27" s="8" t="inlineStr">
        <is>
          <t>Not Run</t>
        </is>
      </c>
      <c r="K27" s="8" t="n"/>
      <c r="L27" s="8" t="n"/>
      <c r="M27" s="8" t="inlineStr">
        <is>
          <t>Manual</t>
        </is>
      </c>
      <c r="N27" s="8" t="n"/>
      <c r="O27" s="8" t="inlineStr"/>
    </row>
    <row r="28">
      <c r="A28" s="8" t="inlineStr">
        <is>
          <t>FTC-024</t>
        </is>
      </c>
      <c r="B28" s="8" t="n"/>
      <c r="C28" s="8" t="inlineStr">
        <is>
          <t>None: None</t>
        </is>
      </c>
      <c r="D28" s="8" t="n"/>
      <c r="E28" s="8" t="inlineStr">
        <is>
          <t>Outside the contact window</t>
        </is>
      </c>
      <c r="F28" s="8" t="inlineStr">
        <is>
          <t>Given a marketing touchpoint is due</t>
        </is>
      </c>
      <c r="G28" s="8" t="inlineStr">
        <is>
          <t>When the journey run executes at 21:15</t>
        </is>
      </c>
      <c r="H28" s="8" t="inlineStr">
        <is>
          <t>Then it is not sent, with reason "outside allowed contact hours"
And it stays scheduled for the next run between 08:00 and 20:00</t>
        </is>
      </c>
      <c r="I28" s="8" t="inlineStr">
        <is>
          <t>No automated scenario — schedule in UAT.</t>
        </is>
      </c>
      <c r="J28" s="8" t="inlineStr">
        <is>
          <t>Not Run</t>
        </is>
      </c>
      <c r="K28" s="8" t="n"/>
      <c r="L28" s="8" t="n"/>
      <c r="M28" s="8" t="inlineStr">
        <is>
          <t>Manual</t>
        </is>
      </c>
      <c r="N28" s="8" t="n"/>
      <c r="O28" s="8" t="inlineStr"/>
    </row>
    <row r="29">
      <c r="A29" s="8" t="inlineStr">
        <is>
          <t>FTC-025</t>
        </is>
      </c>
      <c r="B29" s="8" t="n"/>
      <c r="C29" s="8" t="inlineStr">
        <is>
          <t>None: None</t>
        </is>
      </c>
      <c r="D29" s="8" t="n"/>
      <c r="E29" s="8" t="inlineStr">
        <is>
          <t>Weekly cap</t>
        </is>
      </c>
      <c r="F29" s="8" t="inlineStr">
        <is>
          <t>Given the customer received 3 marketing messages in the last 7 days</t>
        </is>
      </c>
      <c r="G29" s="8" t="inlineStr">
        <is>
          <t>When another marketing touchpoint is due</t>
        </is>
      </c>
      <c r="H29" s="8" t="inlineStr">
        <is>
          <t>Then it is skipped with reason "weekly contact cap reached"</t>
        </is>
      </c>
      <c r="I29" s="8" t="inlineStr">
        <is>
          <t>No automated scenario — schedule in UAT.</t>
        </is>
      </c>
      <c r="J29" s="8" t="inlineStr">
        <is>
          <t>Not Run</t>
        </is>
      </c>
      <c r="K29" s="8" t="n"/>
      <c r="L29" s="8" t="n"/>
      <c r="M29" s="8" t="inlineStr">
        <is>
          <t>Manual</t>
        </is>
      </c>
      <c r="N29" s="8" t="n"/>
      <c r="O29" s="8" t="inlineStr"/>
    </row>
    <row r="30">
      <c r="A30" s="8" t="inlineStr">
        <is>
          <t>FTC-026</t>
        </is>
      </c>
      <c r="B30" s="8" t="n"/>
      <c r="C30" s="8" t="inlineStr">
        <is>
          <t>None: None</t>
        </is>
      </c>
      <c r="D30" s="8" t="n"/>
      <c r="E30" s="8" t="inlineStr">
        <is>
          <t>No marketing consent</t>
        </is>
      </c>
      <c r="F30" s="8" t="inlineStr">
        <is>
          <t>Given the customer has not given marketing consent</t>
        </is>
      </c>
      <c r="G30" s="8" t="inlineStr">
        <is>
          <t>—</t>
        </is>
      </c>
      <c r="H30" s="8" t="inlineStr">
        <is>
          <t>Then marketing messages are skipped with reason "no marketing consent"</t>
        </is>
      </c>
      <c r="I30" s="8" t="inlineStr">
        <is>
          <t>No automated scenario — schedule in UAT.</t>
        </is>
      </c>
      <c r="J30" s="8" t="inlineStr">
        <is>
          <t>Not Run</t>
        </is>
      </c>
      <c r="K30" s="8" t="n"/>
      <c r="L30" s="8" t="n"/>
      <c r="M30" s="8" t="inlineStr">
        <is>
          <t>Manual</t>
        </is>
      </c>
      <c r="N30" s="8" t="n"/>
      <c r="O30" s="8" t="inlineStr"/>
    </row>
    <row r="31">
      <c r="A31" s="8" t="inlineStr">
        <is>
          <t>FTC-027</t>
        </is>
      </c>
      <c r="B31" s="8" t="n"/>
      <c r="C31" s="8" t="inlineStr">
        <is>
          <t>None: None</t>
        </is>
      </c>
      <c r="D31" s="8" t="n"/>
      <c r="E31" s="8" t="inlineStr">
        <is>
          <t>Send-time block</t>
        </is>
      </c>
      <c r="F31" s="8" t="inlineStr">
        <is>
          <t>Given a template whose text contains "giảm giá"</t>
        </is>
      </c>
      <c r="G31" s="8" t="inlineStr">
        <is>
          <t>When the journey engine sends it</t>
        </is>
      </c>
      <c r="H31" s="8" t="inlineStr">
        <is>
          <t>Then the message status is "Blocked" with a reason starting "copy guard:"
And nothing is sent to the provider</t>
        </is>
      </c>
      <c r="I31" s="8" t="inlineStr">
        <is>
          <t>No automated scenario — schedule in UAT.</t>
        </is>
      </c>
      <c r="J31" s="8" t="inlineStr">
        <is>
          <t>Not Run</t>
        </is>
      </c>
      <c r="K31" s="8" t="n"/>
      <c r="L31" s="8" t="n"/>
      <c r="M31" s="8" t="inlineStr">
        <is>
          <t>Manual</t>
        </is>
      </c>
      <c r="N31" s="8" t="n"/>
      <c r="O31" s="8" t="inlineStr"/>
    </row>
    <row r="32">
      <c r="A32" s="8" t="inlineStr">
        <is>
          <t>FTC-028</t>
        </is>
      </c>
      <c r="B32" s="8" t="n"/>
      <c r="C32" s="8" t="inlineStr">
        <is>
          <t>None: None</t>
        </is>
      </c>
      <c r="D32" s="8" t="n"/>
      <c r="E32" s="8" t="inlineStr">
        <is>
          <t>Diacritic-insensitive</t>
        </is>
      </c>
      <c r="F32" s="8" t="inlineStr">
        <is>
          <t>Given a text containing "giam gia", "giảm  giá" or "cash back"</t>
        </is>
      </c>
      <c r="G32" s="8" t="inlineStr">
        <is>
          <t>—</t>
        </is>
      </c>
      <c r="H32" s="8" t="inlineStr">
        <is>
          <t>Then it is also blocked</t>
        </is>
      </c>
      <c r="I32" s="8" t="inlineStr">
        <is>
          <t>No automated scenario — schedule in UAT.</t>
        </is>
      </c>
      <c r="J32" s="8" t="inlineStr">
        <is>
          <t>Not Run</t>
        </is>
      </c>
      <c r="K32" s="8" t="n"/>
      <c r="L32" s="8" t="n"/>
      <c r="M32" s="8" t="inlineStr">
        <is>
          <t>Manual</t>
        </is>
      </c>
      <c r="N32" s="8" t="n"/>
      <c r="O32" s="8" t="inlineStr"/>
    </row>
    <row r="33">
      <c r="A33" s="8" t="inlineStr">
        <is>
          <t>FTC-029</t>
        </is>
      </c>
      <c r="B33" s="8" t="n"/>
      <c r="C33" s="8" t="inlineStr">
        <is>
          <t>None: None</t>
        </is>
      </c>
      <c r="D33" s="8" t="n"/>
      <c r="E33" s="8" t="inlineStr">
        <is>
          <t>Service message bypasses caps but not DNC</t>
        </is>
      </c>
      <c r="F33" s="8" t="inlineStr">
        <is>
          <t>Given I received 3 marketing messages this week</t>
        </is>
      </c>
      <c r="G33" s="8" t="inlineStr">
        <is>
          <t>When the expiry-day service message is due</t>
        </is>
      </c>
      <c r="H33" s="8" t="inlineStr">
        <is>
          <t>Then it is sent
But if I am on the do-not-contact list it is skipped with reason "customer is on do-not-contact list"</t>
        </is>
      </c>
      <c r="I33" s="8" t="inlineStr">
        <is>
          <t>No automated scenario — schedule in UAT.</t>
        </is>
      </c>
      <c r="J33" s="8" t="inlineStr">
        <is>
          <t>Not Run</t>
        </is>
      </c>
      <c r="K33" s="8" t="n"/>
      <c r="L33" s="8" t="n"/>
      <c r="M33" s="8" t="inlineStr">
        <is>
          <t>Manual</t>
        </is>
      </c>
      <c r="N33" s="8" t="n"/>
      <c r="O33" s="8" t="inlineStr"/>
    </row>
    <row r="34">
      <c r="A34" s="8" t="inlineStr">
        <is>
          <t>FTC-030</t>
        </is>
      </c>
      <c r="B34" s="8" t="n"/>
      <c r="C34" s="8" t="inlineStr">
        <is>
          <t>None: None</t>
        </is>
      </c>
      <c r="D34" s="8" t="n"/>
      <c r="E34" s="8" t="inlineStr">
        <is>
          <t>Journey escalation</t>
        </is>
      </c>
      <c r="F34" s="8" t="inlineStr">
        <is>
          <t>Given a hot TASCO renewal lead with call consent and no purchase</t>
        </is>
      </c>
      <c r="G34" s="8" t="inlineStr">
        <is>
          <t>When the telesales step at 3 days before expiry runs</t>
        </is>
      </c>
      <c r="H34" s="8" t="inlineStr">
        <is>
          <t>Then a handoff with outcome "journey escalation" is created with talking points
And the message log records the telesales task</t>
        </is>
      </c>
      <c r="I34" s="8" t="inlineStr">
        <is>
          <t>No automated scenario — schedule in UAT.</t>
        </is>
      </c>
      <c r="J34" s="8" t="inlineStr">
        <is>
          <t>Not Run</t>
        </is>
      </c>
      <c r="K34" s="8" t="n"/>
      <c r="L34" s="8" t="n"/>
      <c r="M34" s="8" t="inlineStr">
        <is>
          <t>Manual</t>
        </is>
      </c>
      <c r="N34" s="8" t="n"/>
      <c r="O34" s="8" t="inlineStr"/>
    </row>
    <row r="35">
      <c r="A35" s="8" t="inlineStr">
        <is>
          <t>FTC-031</t>
        </is>
      </c>
      <c r="B35" s="8" t="n"/>
      <c r="C35" s="8" t="inlineStr">
        <is>
          <t>None: None</t>
        </is>
      </c>
      <c r="D35" s="8" t="n"/>
      <c r="E35" s="8" t="inlineStr">
        <is>
          <t>Lapsed vehicle enters the recovery journey</t>
        </is>
      </c>
      <c r="F35" s="8" t="inlineStr">
        <is>
          <t>Given my expiry was 20 days ago with confidence 0.75</t>
        </is>
      </c>
      <c r="G35" s="8" t="inlineStr">
        <is>
          <t>When my lead is computed</t>
        </is>
      </c>
      <c r="H35" s="8" t="inlineStr">
        <is>
          <t>Then my journey is "Uninsured recovery" and the next best action is "Urgent: vehicle uninsured"
And a lapsed notice (service) is planned for today on app push, Zalo ZNS and SMS
And an assistant call is planned at day 2 if I am hot or warm, and a telesales call at day 5 if I am hot</t>
        </is>
      </c>
      <c r="I35" s="8" t="inlineStr">
        <is>
          <t>No automated scenario — schedule in UAT.</t>
        </is>
      </c>
      <c r="J35" s="8" t="inlineStr">
        <is>
          <t>Not Run</t>
        </is>
      </c>
      <c r="K35" s="8" t="n"/>
      <c r="L35" s="8" t="n"/>
      <c r="M35" s="8" t="inlineStr">
        <is>
          <t>Manual</t>
        </is>
      </c>
      <c r="N35" s="8" t="n"/>
      <c r="O35" s="8" t="inlineStr"/>
    </row>
    <row r="36">
      <c r="A36" s="8" t="inlineStr">
        <is>
          <t>FTC-032</t>
        </is>
      </c>
      <c r="B36" s="8" t="n"/>
      <c r="C36" s="8" t="inlineStr">
        <is>
          <t>None: None</t>
        </is>
      </c>
      <c r="D36" s="8" t="n"/>
      <c r="E36" s="8" t="inlineStr">
        <is>
          <t>Lapsed too long is not assumed uninsured</t>
        </is>
      </c>
      <c r="F36" s="8" t="inlineStr">
        <is>
          <t>Given my expiry was 90 days ago</t>
        </is>
      </c>
      <c r="G36" s="8" t="inlineStr">
        <is>
          <t>—</t>
        </is>
      </c>
      <c r="H36" s="8" t="inlineStr">
        <is>
          <t>Then I am not in "Uninsured recovery" and the urgency reason says "likely renewed elsewhere"</t>
        </is>
      </c>
      <c r="I36" s="8" t="inlineStr">
        <is>
          <t>No automated scenario — schedule in UAT.</t>
        </is>
      </c>
      <c r="J36" s="8" t="inlineStr">
        <is>
          <t>Not Run</t>
        </is>
      </c>
      <c r="K36" s="8" t="n"/>
      <c r="L36" s="8" t="n"/>
      <c r="M36" s="8" t="inlineStr">
        <is>
          <t>Manual</t>
        </is>
      </c>
      <c r="N36" s="8" t="n"/>
      <c r="O36" s="8" t="inlineStr"/>
    </row>
    <row r="37">
      <c r="A37" s="8" t="inlineStr">
        <is>
          <t>FTC-033</t>
        </is>
      </c>
      <c r="B37" s="8" t="n"/>
      <c r="C37" s="8" t="inlineStr">
        <is>
          <t>None: None</t>
        </is>
      </c>
      <c r="D37" s="8" t="n"/>
      <c r="E37" s="8" t="inlineStr">
        <is>
          <t>Tag activation triggers onboarding</t>
        </is>
      </c>
      <c r="F37" s="8" t="inlineStr">
        <is>
          <t>Given VETC sends a tag-activated event for my plate</t>
        </is>
      </c>
      <c r="G37" s="8" t="inlineStr">
        <is>
          <t>When the event is processed</t>
        </is>
      </c>
      <c r="H37" s="8" t="inlineStr">
        <is>
          <t>Then my lead is re-evaluated into the "New vehicle" journey, unless I am already a TASCO customer
And a welcome message (service) is planned at tag date + 1 day, verify expiry at + 7 days and a value reminder (marketing) at + 14 days</t>
        </is>
      </c>
      <c r="I37" s="8" t="inlineStr">
        <is>
          <t>No automated scenario — schedule in UAT.</t>
        </is>
      </c>
      <c r="J37" s="8" t="inlineStr">
        <is>
          <t>Not Run</t>
        </is>
      </c>
      <c r="K37" s="8" t="n"/>
      <c r="L37" s="8" t="n"/>
      <c r="M37" s="8" t="inlineStr">
        <is>
          <t>Manual</t>
        </is>
      </c>
      <c r="N37" s="8" t="n"/>
      <c r="O37" s="8" t="inlineStr"/>
    </row>
    <row r="38">
      <c r="A38" s="8" t="inlineStr">
        <is>
          <t>FTC-034</t>
        </is>
      </c>
      <c r="B38" s="8" t="n"/>
      <c r="C38" s="8" t="inlineStr">
        <is>
          <t>None: None</t>
        </is>
      </c>
      <c r="D38" s="8" t="n"/>
      <c r="E38" s="8" t="inlineStr">
        <is>
          <t>Conquest copy is benefit-led and lawful</t>
        </is>
      </c>
      <c r="F38" s="8" t="inlineStr">
        <is>
          <t>Given my insurer is "PVI" and I expire in 30 days</t>
        </is>
      </c>
      <c r="G38" s="8" t="inlineStr">
        <is>
          <t>When the first reminder is due</t>
        </is>
      </c>
      <c r="H38" s="8" t="inlineStr">
        <is>
          <t>Then the conquest reminder template is used with my top approved benefit, for example "cứu hộ giao thông 24/7"
And the text contains no copy-guard phrase
And an assistant call at 14 days before expiry is planned only if I am hot</t>
        </is>
      </c>
      <c r="I38" s="8" t="inlineStr">
        <is>
          <t>No automated scenario — schedule in UAT.</t>
        </is>
      </c>
      <c r="J38" s="8" t="inlineStr">
        <is>
          <t>Not Run</t>
        </is>
      </c>
      <c r="K38" s="8" t="n"/>
      <c r="L38" s="8" t="n"/>
      <c r="M38" s="8" t="inlineStr">
        <is>
          <t>Manual</t>
        </is>
      </c>
      <c r="N38" s="8" t="n"/>
      <c r="O38" s="8" t="inlineStr"/>
    </row>
    <row r="39">
      <c r="A39" s="8" t="inlineStr">
        <is>
          <t>FTC-035</t>
        </is>
      </c>
      <c r="B39" s="8" t="n"/>
      <c r="C39" s="8" t="inlineStr">
        <is>
          <t>None: None</t>
        </is>
      </c>
      <c r="D39" s="8" t="n"/>
      <c r="E39" s="8" t="inlineStr">
        <is>
          <t>Inspection booked with expiry soon</t>
        </is>
      </c>
      <c r="F39" s="8" t="inlineStr">
        <is>
          <t>Given my TNDS expires in 40 days</t>
        </is>
      </c>
      <c r="G39" s="8" t="inlineStr">
        <is>
          <t>When an inspection-booked event is received</t>
        </is>
      </c>
      <c r="H39" s="8" t="inlineStr">
        <is>
          <t>Then a TNDS check service message is sent by app push or Zalo ZNS</t>
        </is>
      </c>
      <c r="I39" s="8" t="inlineStr">
        <is>
          <t>No automated scenario — schedule in UAT.</t>
        </is>
      </c>
      <c r="J39" s="8" t="inlineStr">
        <is>
          <t>Not Run</t>
        </is>
      </c>
      <c r="K39" s="8" t="n"/>
      <c r="L39" s="8" t="n"/>
      <c r="M39" s="8" t="inlineStr">
        <is>
          <t>Manual</t>
        </is>
      </c>
      <c r="N39" s="8" t="n"/>
      <c r="O39" s="8" t="inlineStr"/>
    </row>
    <row r="40">
      <c r="A40" s="8" t="inlineStr">
        <is>
          <t>FTC-036</t>
        </is>
      </c>
      <c r="B40" s="8" t="n"/>
      <c r="C40" s="8" t="inlineStr">
        <is>
          <t>None: None</t>
        </is>
      </c>
      <c r="D40" s="8" t="n"/>
      <c r="E40" s="8" t="inlineStr">
        <is>
          <t>Expiry far away</t>
        </is>
      </c>
      <c r="F40" s="8" t="inlineStr">
        <is>
          <t>Given my TNDS expires in 200 days</t>
        </is>
      </c>
      <c r="G40" s="8" t="inlineStr">
        <is>
          <t>—</t>
        </is>
      </c>
      <c r="H40" s="8" t="inlineStr">
        <is>
          <t>Then the trigger result is "condition not met" and nothing is sent</t>
        </is>
      </c>
      <c r="I40" s="8" t="inlineStr">
        <is>
          <t>No automated scenario — schedule in UAT.</t>
        </is>
      </c>
      <c r="J40" s="8" t="inlineStr">
        <is>
          <t>Not Run</t>
        </is>
      </c>
      <c r="K40" s="8" t="n"/>
      <c r="L40" s="8" t="n"/>
      <c r="M40" s="8" t="inlineStr">
        <is>
          <t>Manual</t>
        </is>
      </c>
      <c r="N40" s="8" t="n"/>
      <c r="O40" s="8" t="inlineStr"/>
    </row>
    <row r="41">
      <c r="A41" s="8" t="inlineStr">
        <is>
          <t>FTC-037</t>
        </is>
      </c>
      <c r="B41" s="8" t="n"/>
      <c r="C41" s="8" t="inlineStr">
        <is>
          <t>None: None</t>
        </is>
      </c>
      <c r="D41" s="8" t="n"/>
      <c r="E41" s="8" t="inlineStr">
        <is>
          <t>Wallet top-up within ±30 days of expiry</t>
        </is>
      </c>
      <c r="F41" s="8" t="inlineStr">
        <is>
          <t>Given my expiry is in 12 days and I have given marketing consent</t>
        </is>
      </c>
      <c r="G41" s="8" t="inlineStr">
        <is>
          <t>When a wallet top-up event is received between 08:00 and 20:00</t>
        </is>
      </c>
      <c r="H41" s="8" t="inlineStr">
        <is>
          <t>Then a first reminder is sent by push
And if I already received 1 marketing contact today the result is "no permitted channel"</t>
        </is>
      </c>
      <c r="I41" s="8" t="inlineStr">
        <is>
          <t>No automated scenario — schedule in UAT.</t>
        </is>
      </c>
      <c r="J41" s="8" t="inlineStr">
        <is>
          <t>Not Run</t>
        </is>
      </c>
      <c r="K41" s="8" t="n"/>
      <c r="L41" s="8" t="n"/>
      <c r="M41" s="8" t="inlineStr">
        <is>
          <t>Manual</t>
        </is>
      </c>
      <c r="N41" s="8" t="n"/>
      <c r="O41" s="8" t="inlineStr"/>
    </row>
    <row r="42">
      <c r="A42" s="8" t="inlineStr">
        <is>
          <t>FTC-038</t>
        </is>
      </c>
      <c r="B42" s="8" t="n"/>
      <c r="C42" s="8" t="inlineStr">
        <is>
          <t>None: None</t>
        </is>
      </c>
      <c r="D42" s="8" t="n"/>
      <c r="E42" s="8" t="inlineStr">
        <is>
          <t>Simulator</t>
        </is>
      </c>
      <c r="F42" s="8" t="inlineStr">
        <is>
          <t>Given I am allowed to run journeys</t>
        </is>
      </c>
      <c r="G42" s="8" t="inlineStr">
        <is>
          <t>When I choose a customer and the event "long trip started" on the Journeys screen</t>
        </is>
      </c>
      <c r="H42" s="8" t="inlineStr">
        <is>
          <t>Then the console shows the matched triggers and the result of each
And the audit trail records the handled event</t>
        </is>
      </c>
      <c r="I42" s="8" t="inlineStr">
        <is>
          <t>No automated scenario — schedule in UAT.</t>
        </is>
      </c>
      <c r="J42" s="8" t="inlineStr">
        <is>
          <t>Not Run</t>
        </is>
      </c>
      <c r="K42" s="8" t="n"/>
      <c r="L42" s="8" t="n"/>
      <c r="M42" s="8" t="inlineStr">
        <is>
          <t>Manual</t>
        </is>
      </c>
      <c r="N42" s="8" t="n"/>
      <c r="O42" s="8" t="inlineStr"/>
    </row>
    <row r="43">
      <c r="A43" s="8" t="inlineStr">
        <is>
          <t>FTC-039</t>
        </is>
      </c>
      <c r="B43" s="8" t="n"/>
      <c r="C43" s="8" t="inlineStr">
        <is>
          <t>None: None</t>
        </is>
      </c>
      <c r="D43" s="8" t="n"/>
      <c r="E43" s="8" t="inlineStr">
        <is>
          <t>Opening line</t>
        </is>
      </c>
      <c r="F43" s="8" t="inlineStr">
        <is>
          <t>—</t>
        </is>
      </c>
      <c r="G43" s="8" t="inlineStr">
        <is>
          <t>When an assistant call starts</t>
        </is>
      </c>
      <c r="H43" s="8" t="inlineStr">
        <is>
          <t>Then the first line says it is VETC's automated assistant, the call is recorded and VETC never asks for an OTP or payment by phone
And it asks me to say my licence plate
And it does not say my plate, name or expiry</t>
        </is>
      </c>
      <c r="I43" s="8" t="inlineStr">
        <is>
          <t>No automated scenario — schedule in UAT.</t>
        </is>
      </c>
      <c r="J43" s="8" t="inlineStr">
        <is>
          <t>Not Run</t>
        </is>
      </c>
      <c r="K43" s="8" t="n"/>
      <c r="L43" s="8" t="n"/>
      <c r="M43" s="8" t="inlineStr">
        <is>
          <t>Manual</t>
        </is>
      </c>
      <c r="N43" s="8" t="n"/>
      <c r="O43" s="8" t="inlineStr"/>
    </row>
    <row r="44">
      <c r="A44" s="8" t="inlineStr">
        <is>
          <t>FTC-040</t>
        </is>
      </c>
      <c r="B44" s="8" t="n"/>
      <c r="C44" s="8" t="inlineStr">
        <is>
          <t>None: None</t>
        </is>
      </c>
      <c r="D44" s="8" t="n"/>
      <c r="E44" s="8" t="inlineStr">
        <is>
          <t>Spoken plate matches</t>
        </is>
      </c>
      <c r="F44" s="8" t="inlineStr">
        <is>
          <t>Given my plate is "30A-123.45"</t>
        </is>
      </c>
      <c r="G44" s="8" t="inlineStr">
        <is>
          <t>When I say "ba không A một hai ba bốn năm"</t>
        </is>
      </c>
      <c r="H44" s="8" t="inlineStr">
        <is>
          <t>Then I am verified and the assistant states my expiry using the masked plate "30A-***.45"</t>
        </is>
      </c>
      <c r="I44" s="8" t="inlineStr">
        <is>
          <t>No automated scenario — schedule in UAT.</t>
        </is>
      </c>
      <c r="J44" s="8" t="inlineStr">
        <is>
          <t>Not Run</t>
        </is>
      </c>
      <c r="K44" s="8" t="n"/>
      <c r="L44" s="8" t="n"/>
      <c r="M44" s="8" t="inlineStr">
        <is>
          <t>Manual</t>
        </is>
      </c>
      <c r="N44" s="8" t="n"/>
      <c r="O44" s="8" t="inlineStr"/>
    </row>
    <row r="45">
      <c r="A45" s="8" t="inlineStr">
        <is>
          <t>FTC-041</t>
        </is>
      </c>
      <c r="B45" s="8" t="n"/>
      <c r="C45" s="8" t="inlineStr">
        <is>
          <t>None: None</t>
        </is>
      </c>
      <c r="D45" s="8" t="n"/>
      <c r="E45" s="8" t="inlineStr">
        <is>
          <t>Plate mismatch</t>
        </is>
      </c>
      <c r="F45" s="8" t="inlineStr">
        <is>
          <t>—</t>
        </is>
      </c>
      <c r="G45" s="8" t="inlineStr">
        <is>
          <t>When I say "29A 999 99"</t>
        </is>
      </c>
      <c r="H45" s="8" t="inlineStr">
        <is>
          <t>Then the assistant ends the call politely with outcome "Plate mismatch"
And a "Plate mismatch (call)" data issue is opened for the profile</t>
        </is>
      </c>
      <c r="I45" s="8" t="inlineStr">
        <is>
          <t>No automated scenario — schedule in UAT.</t>
        </is>
      </c>
      <c r="J45" s="8" t="inlineStr">
        <is>
          <t>Not Run</t>
        </is>
      </c>
      <c r="K45" s="8" t="n"/>
      <c r="L45" s="8" t="n"/>
      <c r="M45" s="8" t="inlineStr">
        <is>
          <t>Manual</t>
        </is>
      </c>
      <c r="N45" s="8" t="n"/>
      <c r="O45" s="8" t="inlineStr"/>
    </row>
    <row r="46">
      <c r="A46" s="8" t="inlineStr">
        <is>
          <t>FTC-042</t>
        </is>
      </c>
      <c r="B46" s="8" t="n"/>
      <c r="C46" s="8" t="inlineStr">
        <is>
          <t>None: None</t>
        </is>
      </c>
      <c r="D46" s="8" t="n"/>
      <c r="E46" s="8" t="inlineStr">
        <is>
          <t>Plate not understood three times</t>
        </is>
      </c>
      <c r="F46" s="8" t="inlineStr">
        <is>
          <t>—</t>
        </is>
      </c>
      <c r="G46" s="8" t="inlineStr">
        <is>
          <t>When I say three things with no recognisable plate</t>
        </is>
      </c>
      <c r="H46" s="8" t="inlineStr">
        <is>
          <t>Then the call ends with outcome "Not verified"</t>
        </is>
      </c>
      <c r="I46" s="8" t="inlineStr">
        <is>
          <t>No automated scenario — schedule in UAT.</t>
        </is>
      </c>
      <c r="J46" s="8" t="inlineStr">
        <is>
          <t>Not Run</t>
        </is>
      </c>
      <c r="K46" s="8" t="n"/>
      <c r="L46" s="8" t="n"/>
      <c r="M46" s="8" t="inlineStr">
        <is>
          <t>Manual</t>
        </is>
      </c>
      <c r="N46" s="8" t="n"/>
      <c r="O46" s="8" t="inlineStr"/>
    </row>
    <row r="47">
      <c r="A47" s="8" t="inlineStr">
        <is>
          <t>FTC-043</t>
        </is>
      </c>
      <c r="B47" s="8" t="n"/>
      <c r="C47" s="8" t="inlineStr">
        <is>
          <t>None: None</t>
        </is>
      </c>
      <c r="D47" s="8" t="n"/>
      <c r="E47" s="8" t="inlineStr">
        <is>
          <t>Price asked</t>
        </is>
      </c>
      <c r="F47" s="8" t="inlineStr">
        <is>
          <t>Given I am verified and my premium is VND 480,700 including VAT</t>
        </is>
      </c>
      <c r="G47" s="8" t="inlineStr">
        <is>
          <t>When I say "phí bao nhiêu tiền"</t>
        </is>
      </c>
      <c r="H47" s="8" t="inlineStr">
        <is>
          <t>Then the assistant says TNDS premiums are set by regulation and identical at every insurer, and states "480.700 đồng" including VAT
And mentions quick renewal in the app, the instant e-certificate and roadside assistance
And any handoff records that I asked about price</t>
        </is>
      </c>
      <c r="I47" s="8" t="inlineStr">
        <is>
          <t>No automated scenario — schedule in UAT.</t>
        </is>
      </c>
      <c r="J47" s="8" t="inlineStr">
        <is>
          <t>Not Run</t>
        </is>
      </c>
      <c r="K47" s="8" t="n"/>
      <c r="L47" s="8" t="n"/>
      <c r="M47" s="8" t="inlineStr">
        <is>
          <t>Manual</t>
        </is>
      </c>
      <c r="N47" s="8" t="n"/>
      <c r="O47" s="8" t="inlineStr"/>
    </row>
    <row r="48">
      <c r="A48" s="8" t="inlineStr">
        <is>
          <t>FTC-044</t>
        </is>
      </c>
      <c r="B48" s="8" t="n"/>
      <c r="C48" s="8" t="inlineStr">
        <is>
          <t>None: None</t>
        </is>
      </c>
      <c r="D48" s="8" t="n"/>
      <c r="E48" s="8" t="inlineStr">
        <is>
          <t>Scam concern at any point</t>
        </is>
      </c>
      <c r="F48" s="8" t="inlineStr">
        <is>
          <t>—</t>
        </is>
      </c>
      <c r="G48" s="8" t="inlineStr">
        <is>
          <t>When I say "sao biết số tôi, lừa đảo à"</t>
        </is>
      </c>
      <c r="H48" s="8" t="inlineStr">
        <is>
          <t>Then the assistant replies with the trust script and offers a notice in the app
And the handoff to telesales records a trust concern</t>
        </is>
      </c>
      <c r="I48" s="8" t="inlineStr">
        <is>
          <t>No automated scenario — schedule in UAT.</t>
        </is>
      </c>
      <c r="J48" s="8" t="inlineStr">
        <is>
          <t>Not Run</t>
        </is>
      </c>
      <c r="K48" s="8" t="n"/>
      <c r="L48" s="8" t="n"/>
      <c r="M48" s="8" t="inlineStr">
        <is>
          <t>Manual</t>
        </is>
      </c>
      <c r="N48" s="8" t="n"/>
      <c r="O48" s="8" t="inlineStr"/>
    </row>
    <row r="49">
      <c r="A49" s="8" t="inlineStr">
        <is>
          <t>FTC-045</t>
        </is>
      </c>
      <c r="B49" s="8" t="n"/>
      <c r="C49" s="8" t="inlineStr">
        <is>
          <t>None: None</t>
        </is>
      </c>
      <c r="D49" s="8" t="n"/>
      <c r="E49" s="8" t="inlineStr">
        <is>
          <t>Already renewed</t>
        </is>
      </c>
      <c r="F49" s="8" t="inlineStr">
        <is>
          <t>Given I am verified and my expiry on file is 20/10/2026</t>
        </is>
      </c>
      <c r="G49" s="8" t="inlineStr">
        <is>
          <t>When I say "tôi đã gia hạn rồi" and then "mua bên Bảo Việt, hết hạn tháng 9 năm sau"</t>
        </is>
      </c>
      <c r="H49" s="8" t="inlineStr">
        <is>
          <t>Then the outcome is "Already renewed elsewhere"
And my expiry becomes 20/10/2027 from an assistant call, confidence 0.6, insurer "other", with a competitor note
And my lead is recomputed</t>
        </is>
      </c>
      <c r="I49" s="8" t="inlineStr">
        <is>
          <t>No automated scenario — schedule in UAT.</t>
        </is>
      </c>
      <c r="J49" s="8" t="inlineStr">
        <is>
          <t>Not Run</t>
        </is>
      </c>
      <c r="K49" s="8" t="n"/>
      <c r="L49" s="8" t="n"/>
      <c r="M49" s="8" t="inlineStr">
        <is>
          <t>Manual</t>
        </is>
      </c>
      <c r="N49" s="8" t="n"/>
      <c r="O49" s="8" t="inlineStr"/>
    </row>
    <row r="50">
      <c r="A50" s="8" t="inlineStr">
        <is>
          <t>FTC-046</t>
        </is>
      </c>
      <c r="B50" s="8" t="n"/>
      <c r="C50" s="8" t="inlineStr">
        <is>
          <t>None: None</t>
        </is>
      </c>
      <c r="D50" s="8" t="n"/>
      <c r="E50" s="8" t="inlineStr">
        <is>
          <t>Opt-out</t>
        </is>
      </c>
      <c r="F50" s="8" t="inlineStr">
        <is>
          <t>—</t>
        </is>
      </c>
      <c r="G50" s="8" t="inlineStr">
        <is>
          <t>When I say "đừng gọi nữa"</t>
        </is>
      </c>
      <c r="H50" s="8" t="inlineStr">
        <is>
          <t>Then the assistant apologises and ends with outcome "Opted out"
And my call consent is withdrawn and I am on the do-not-contact list, also after data reloads
And the audit trail records the consent withdrawal against the call</t>
        </is>
      </c>
      <c r="I50" s="8" t="inlineStr">
        <is>
          <t>No automated scenario — schedule in UAT.</t>
        </is>
      </c>
      <c r="J50" s="8" t="inlineStr">
        <is>
          <t>Not Run</t>
        </is>
      </c>
      <c r="K50" s="8" t="n"/>
      <c r="L50" s="8" t="n"/>
      <c r="M50" s="8" t="inlineStr">
        <is>
          <t>Manual</t>
        </is>
      </c>
      <c r="N50" s="8" t="n"/>
      <c r="O50" s="8" t="inlineStr"/>
    </row>
    <row r="51">
      <c r="A51" s="8" t="inlineStr">
        <is>
          <t>FTC-047</t>
        </is>
      </c>
      <c r="B51" s="8" t="n"/>
      <c r="C51" s="8" t="inlineStr">
        <is>
          <t>None: None</t>
        </is>
      </c>
      <c r="D51" s="8" t="n"/>
      <c r="E51" s="8" t="inlineStr">
        <is>
          <t>Eligible customers only</t>
        </is>
      </c>
      <c r="F51" s="8" t="inlineStr">
        <is>
          <t>Given 50 hot leads, of which 10 lack call consent, 2 are on the do-not-contact list and 5 are company-owned</t>
        </is>
      </c>
      <c r="G51" s="8" t="inlineStr">
        <is>
          <t>When I launch a campaign for tier "Hot" with a limit of 20</t>
        </is>
      </c>
      <c r="H51" s="8" t="inlineStr">
        <is>
          <t>Then at most 20 calls are made, none to the 17 ineligible customers
And the result summarises outcomes such as hot handoff, link sent and already renewed</t>
        </is>
      </c>
      <c r="I51" s="8" t="inlineStr">
        <is>
          <t>No automated scenario — schedule in UAT.</t>
        </is>
      </c>
      <c r="J51" s="8" t="inlineStr">
        <is>
          <t>Not Run</t>
        </is>
      </c>
      <c r="K51" s="8" t="n"/>
      <c r="L51" s="8" t="n"/>
      <c r="M51" s="8" t="inlineStr">
        <is>
          <t>Manual</t>
        </is>
      </c>
      <c r="N51" s="8" t="n"/>
      <c r="O51" s="8" t="inlineStr"/>
    </row>
    <row r="52">
      <c r="A52" s="8" t="inlineStr">
        <is>
          <t>FTC-048</t>
        </is>
      </c>
      <c r="B52" s="8" t="n"/>
      <c r="C52" s="8" t="inlineStr">
        <is>
          <t>None: None</t>
        </is>
      </c>
      <c r="D52" s="8" t="n"/>
      <c r="E52" s="8" t="inlineStr">
        <is>
          <t>Contact policy applies to campaigns (target behaviour)</t>
        </is>
      </c>
      <c r="F52" s="8" t="inlineStr">
        <is>
          <t>Given it is 21:00</t>
        </is>
      </c>
      <c r="G52" s="8" t="inlineStr">
        <is>
          <t>When I launch a campaign</t>
        </is>
      </c>
      <c r="H52" s="8" t="inlineStr">
        <is>
          <t>Then no calls are placed and the result explains "outside allowed contact hours"</t>
        </is>
      </c>
      <c r="I52" s="8" t="inlineStr">
        <is>
          <t>No automated scenario — schedule in UAT.</t>
        </is>
      </c>
      <c r="J52" s="8" t="inlineStr">
        <is>
          <t>Not Run</t>
        </is>
      </c>
      <c r="K52" s="8" t="n"/>
      <c r="L52" s="8" t="n"/>
      <c r="M52" s="8" t="inlineStr">
        <is>
          <t>Manual</t>
        </is>
      </c>
      <c r="N52" s="8" t="n"/>
      <c r="O52" s="8" t="inlineStr"/>
    </row>
    <row r="53">
      <c r="A53" s="8" t="inlineStr">
        <is>
          <t>FTC-049</t>
        </is>
      </c>
      <c r="B53" s="8" t="n"/>
      <c r="C53" s="8" t="inlineStr">
        <is>
          <t>None: None</t>
        </is>
      </c>
      <c r="D53" s="8" t="n"/>
      <c r="E53" s="8" t="inlineStr">
        <is>
          <t>Console session</t>
        </is>
      </c>
      <c r="F53" s="8" t="inlineStr">
        <is>
          <t>Given I am allowed to operate the voice assistant</t>
        </is>
      </c>
      <c r="G53" s="8" t="inlineStr">
        <is>
          <t>When I start a session for a customer who is not on the do-not-contact list and type each turn</t>
        </is>
      </c>
      <c r="H53" s="8" t="inlineStr">
        <is>
          <t>Then I see the Vietnamese assistant lines with an English gloss for each turn
And when the call ends the outcome and any handoff are shown</t>
        </is>
      </c>
      <c r="I53" s="8" t="inlineStr">
        <is>
          <t>No automated scenario — schedule in UAT.</t>
        </is>
      </c>
      <c r="J53" s="8" t="inlineStr">
        <is>
          <t>Not Run</t>
        </is>
      </c>
      <c r="K53" s="8" t="n"/>
      <c r="L53" s="8" t="n"/>
      <c r="M53" s="8" t="inlineStr">
        <is>
          <t>Manual</t>
        </is>
      </c>
      <c r="N53" s="8" t="n"/>
      <c r="O53" s="8" t="inlineStr"/>
    </row>
    <row r="54">
      <c r="A54" s="8" t="inlineStr">
        <is>
          <t>FTC-050</t>
        </is>
      </c>
      <c r="B54" s="8" t="n"/>
      <c r="C54" s="8" t="inlineStr">
        <is>
          <t>None: None</t>
        </is>
      </c>
      <c r="D54" s="8" t="n"/>
      <c r="E54" s="8" t="inlineStr">
        <is>
          <t>DNC customer</t>
        </is>
      </c>
      <c r="F54" s="8" t="inlineStr">
        <is>
          <t>—</t>
        </is>
      </c>
      <c r="G54" s="8" t="inlineStr">
        <is>
          <t>When I start a session for a customer on the do-not-contact list</t>
        </is>
      </c>
      <c r="H54" s="8" t="inlineStr">
        <is>
          <t>Then it is refused with "Customer is on the do-not-contact list"</t>
        </is>
      </c>
      <c r="I54" s="8" t="inlineStr">
        <is>
          <t>No automated scenario — schedule in UAT.</t>
        </is>
      </c>
      <c r="J54" s="8" t="inlineStr">
        <is>
          <t>Not Run</t>
        </is>
      </c>
      <c r="K54" s="8" t="n"/>
      <c r="L54" s="8" t="n"/>
      <c r="M54" s="8" t="inlineStr">
        <is>
          <t>Manual</t>
        </is>
      </c>
      <c r="N54" s="8" t="n"/>
      <c r="O54" s="8" t="inlineStr"/>
    </row>
    <row r="55">
      <c r="A55" s="8" t="inlineStr">
        <is>
          <t>FTC-051</t>
        </is>
      </c>
      <c r="B55" s="8" t="n"/>
      <c r="C55" s="8" t="inlineStr">
        <is>
          <t>None: None</t>
        </is>
      </c>
      <c r="D55" s="8" t="n"/>
      <c r="E55" s="8" t="inlineStr">
        <is>
          <t>Governance dashboard</t>
        </is>
      </c>
      <c r="F55" s="8" t="inlineStr">
        <is>
          <t>—</t>
        </is>
      </c>
      <c r="G55" s="8" t="inlineStr">
        <is>
          <t>When I open the governance dashboard</t>
        </is>
      </c>
      <c r="H55" s="8" t="inlineStr">
        <is>
          <t>Then I see total calls, outcomes, the plate-verification failure rate, the opt-out rate and the disclosure statement
And the result of the audit-chain verification</t>
        </is>
      </c>
      <c r="I55" s="8" t="inlineStr">
        <is>
          <t>No automated scenario — schedule in UAT.</t>
        </is>
      </c>
      <c r="J55" s="8" t="inlineStr">
        <is>
          <t>Not Run</t>
        </is>
      </c>
      <c r="K55" s="8" t="n"/>
      <c r="L55" s="8" t="n"/>
      <c r="M55" s="8" t="inlineStr">
        <is>
          <t>Manual</t>
        </is>
      </c>
      <c r="N55" s="8" t="n"/>
      <c r="O55" s="8" t="inlineStr"/>
    </row>
    <row r="56">
      <c r="A56" s="8" t="inlineStr">
        <is>
          <t>FTC-052</t>
        </is>
      </c>
      <c r="B56" s="8" t="n"/>
      <c r="C56" s="8" t="inlineStr">
        <is>
          <t>None: None</t>
        </is>
      </c>
      <c r="D56" s="8" t="n"/>
      <c r="E56" s="8" t="inlineStr">
        <is>
          <t>Handoff content</t>
        </is>
      </c>
      <c r="F56" s="8" t="inlineStr">
        <is>
          <t>Given an assistant call ended with a hot handoff after the customer asked about price</t>
        </is>
      </c>
      <c r="G56" s="8" t="inlineStr">
        <is>
          <t>—</t>
        </is>
      </c>
      <c r="H56" s="8" t="inlineStr">
        <is>
          <t>Then the handoff shows the plate, "plate verified by customer", masked phone, journey, expiry, premium and score
And the talking points include "Call from the official VETC hotline", the regulated-price point and the customer's top benefits
And the full phone number is visible only in Customer 360 to users allowed to see personal data</t>
        </is>
      </c>
      <c r="I56" s="8" t="inlineStr">
        <is>
          <t>No automated scenario — schedule in UAT.</t>
        </is>
      </c>
      <c r="J56" s="8" t="inlineStr">
        <is>
          <t>Not Run</t>
        </is>
      </c>
      <c r="K56" s="8" t="n"/>
      <c r="L56" s="8" t="n"/>
      <c r="M56" s="8" t="inlineStr">
        <is>
          <t>Manual</t>
        </is>
      </c>
      <c r="N56" s="8" t="n"/>
      <c r="O56" s="8" t="inlineStr"/>
    </row>
    <row r="57">
      <c r="A57" s="8" t="inlineStr">
        <is>
          <t>FTC-053</t>
        </is>
      </c>
      <c r="B57" s="8" t="n"/>
      <c r="C57" s="8" t="inlineStr">
        <is>
          <t>None: None</t>
        </is>
      </c>
      <c r="D57" s="8" t="n"/>
      <c r="E57" s="8" t="inlineStr">
        <is>
          <t>Claim</t>
        </is>
      </c>
      <c r="F57" s="8" t="inlineStr">
        <is>
          <t>Given an open, unassigned handoff</t>
        </is>
      </c>
      <c r="G57" s="8" t="inlineStr">
        <is>
          <t>When I claim it</t>
        </is>
      </c>
      <c r="H57" s="8" t="inlineStr">
        <is>
          <t>Then it is assigned to me</t>
        </is>
      </c>
      <c r="I57" s="8" t="inlineStr">
        <is>
          <t>No automated scenario — schedule in UAT.</t>
        </is>
      </c>
      <c r="J57" s="8" t="inlineStr">
        <is>
          <t>Not Run</t>
        </is>
      </c>
      <c r="K57" s="8" t="n"/>
      <c r="L57" s="8" t="n"/>
      <c r="M57" s="8" t="inlineStr">
        <is>
          <t>Manual</t>
        </is>
      </c>
      <c r="N57" s="8" t="n"/>
      <c r="O57" s="8" t="inlineStr"/>
    </row>
    <row r="58">
      <c r="A58" s="8" t="inlineStr">
        <is>
          <t>FTC-054</t>
        </is>
      </c>
      <c r="B58" s="8" t="n"/>
      <c r="C58" s="8" t="inlineStr">
        <is>
          <t>None: None</t>
        </is>
      </c>
      <c r="D58" s="8" t="n"/>
      <c r="E58" s="8" t="inlineStr">
        <is>
          <t>Invalid transition</t>
        </is>
      </c>
      <c r="F58" s="8" t="inlineStr">
        <is>
          <t>Given a handoff with status "Won"</t>
        </is>
      </c>
      <c r="G58" s="8" t="inlineStr">
        <is>
          <t>When I try to set it back to "Open"</t>
        </is>
      </c>
      <c r="H58" s="8" t="inlineStr">
        <is>
          <t>Then the change is refused with "Cannot move handoff from won to open"</t>
        </is>
      </c>
      <c r="I58" s="8" t="inlineStr">
        <is>
          <t>No automated scenario — schedule in UAT.</t>
        </is>
      </c>
      <c r="J58" s="8" t="inlineStr">
        <is>
          <t>Not Run</t>
        </is>
      </c>
      <c r="K58" s="8" t="n"/>
      <c r="L58" s="8" t="n"/>
      <c r="M58" s="8" t="inlineStr">
        <is>
          <t>Manual</t>
        </is>
      </c>
      <c r="N58" s="8" t="n"/>
      <c r="O58" s="8" t="inlineStr"/>
    </row>
    <row r="59">
      <c r="A59" s="8" t="inlineStr">
        <is>
          <t>FTC-055</t>
        </is>
      </c>
      <c r="B59" s="8" t="n"/>
      <c r="C59" s="8" t="inlineStr">
        <is>
          <t>None: None</t>
        </is>
      </c>
      <c r="D59" s="8" t="n"/>
      <c r="E59" s="8" t="inlineStr">
        <is>
          <t>Someone else's handoff</t>
        </is>
      </c>
      <c r="F59" s="8" t="inlineStr">
        <is>
          <t>Given a handoff assigned to another agent</t>
        </is>
      </c>
      <c r="G59" s="8" t="inlineStr">
        <is>
          <t>When I open it</t>
        </is>
      </c>
      <c r="H59" s="8" t="inlineStr">
        <is>
          <t>Then access is refused under the own-handoff policy</t>
        </is>
      </c>
      <c r="I59" s="8" t="inlineStr">
        <is>
          <t>No automated scenario — schedule in UAT.</t>
        </is>
      </c>
      <c r="J59" s="8" t="inlineStr">
        <is>
          <t>Not Run</t>
        </is>
      </c>
      <c r="K59" s="8" t="n"/>
      <c r="L59" s="8" t="n"/>
      <c r="M59" s="8" t="inlineStr">
        <is>
          <t>Manual</t>
        </is>
      </c>
      <c r="N59" s="8" t="n"/>
      <c r="O59" s="8" t="inlineStr"/>
    </row>
    <row r="60">
      <c r="A60" s="8" t="inlineStr">
        <is>
          <t>FTC-056</t>
        </is>
      </c>
      <c r="B60" s="8" t="n"/>
      <c r="C60" s="8" t="inlineStr">
        <is>
          <t>None: None</t>
        </is>
      </c>
      <c r="D60" s="8" t="n"/>
      <c r="E60" s="8" t="inlineStr">
        <is>
          <t>Assign</t>
        </is>
      </c>
      <c r="F60" s="8" t="inlineStr">
        <is>
          <t>Given I am allowed to assign handoffs</t>
        </is>
      </c>
      <c r="G60" s="8" t="inlineStr">
        <is>
          <t>When I assign a handoff to agent "U-agent01"</t>
        </is>
      </c>
      <c r="H60" s="8" t="inlineStr">
        <is>
          <t>Then it is assigned and the audit trail records the update</t>
        </is>
      </c>
      <c r="I60" s="8" t="inlineStr">
        <is>
          <t>No automated scenario — schedule in UAT.</t>
        </is>
      </c>
      <c r="J60" s="8" t="inlineStr">
        <is>
          <t>Not Run</t>
        </is>
      </c>
      <c r="K60" s="8" t="n"/>
      <c r="L60" s="8" t="n"/>
      <c r="M60" s="8" t="inlineStr">
        <is>
          <t>Manual</t>
        </is>
      </c>
      <c r="N60" s="8" t="n"/>
      <c r="O60" s="8" t="inlineStr"/>
    </row>
    <row r="61">
      <c r="A61" s="8" t="inlineStr">
        <is>
          <t>FTC-057</t>
        </is>
      </c>
      <c r="B61" s="8" t="n"/>
      <c r="C61" s="8" t="inlineStr">
        <is>
          <t>None: None</t>
        </is>
      </c>
      <c r="D61" s="8" t="n"/>
      <c r="E61" s="8" t="inlineStr">
        <is>
          <t>Agent cannot assign</t>
        </is>
      </c>
      <c r="F61" s="8" t="inlineStr">
        <is>
          <t>Given I am a telesales agent</t>
        </is>
      </c>
      <c r="G61" s="8" t="inlineStr">
        <is>
          <t>When I try to assign a handoff</t>
        </is>
      </c>
      <c r="H61" s="8" t="inlineStr">
        <is>
          <t>Then it is refused with "Missing permission handoff:assign"</t>
        </is>
      </c>
      <c r="I61" s="8" t="inlineStr">
        <is>
          <t>No automated scenario — schedule in UAT.</t>
        </is>
      </c>
      <c r="J61" s="8" t="inlineStr">
        <is>
          <t>Not Run</t>
        </is>
      </c>
      <c r="K61" s="8" t="n"/>
      <c r="L61" s="8" t="n"/>
      <c r="M61" s="8" t="inlineStr">
        <is>
          <t>Manual</t>
        </is>
      </c>
      <c r="N61" s="8" t="n"/>
      <c r="O61" s="8" t="inlineStr"/>
    </row>
    <row r="62">
      <c r="A62" s="8" t="inlineStr">
        <is>
          <t>FTC-058</t>
        </is>
      </c>
      <c r="B62" s="8" t="n"/>
      <c r="C62" s="8" t="inlineStr">
        <is>
          <t>None: None</t>
        </is>
      </c>
      <c r="D62" s="8" t="n"/>
      <c r="E62" s="8" t="inlineStr">
        <is>
          <t>Quote on the call, pay in app</t>
        </is>
      </c>
      <c r="F62" s="8" t="inlineStr">
        <is>
          <t>Given the customer agrees to renew with passenger cover</t>
        </is>
      </c>
      <c r="G62" s="8" t="inlineStr">
        <is>
          <t>When I quote TNDS for a car with personal accident cover for 5 seats at VND 20,000,000 per seat, on the telesales channel
When I send the quote to the customer</t>
        </is>
      </c>
      <c r="H62" s="8" t="inlineStr">
        <is>
          <t>Then the quote shows VND 480,700 + VND 100,000 = VND 580,700 and the Safe Drive bundle
Then it reaches the customer's VETC app or Zalo as a service message
And the customer sees it under quotes waiting for confirmation
And I mark the handoff "Won" only after the customer pays in the VETC app</t>
        </is>
      </c>
      <c r="I62" s="8" t="inlineStr">
        <is>
          <t>No automated scenario — schedule in UAT.</t>
        </is>
      </c>
      <c r="J62" s="8" t="inlineStr">
        <is>
          <t>Not Run</t>
        </is>
      </c>
      <c r="K62" s="8" t="n"/>
      <c r="L62" s="8" t="n"/>
      <c r="M62" s="8" t="inlineStr">
        <is>
          <t>Manual</t>
        </is>
      </c>
      <c r="N62" s="8" t="n"/>
      <c r="O62" s="8" t="inlineStr"/>
    </row>
    <row r="63">
      <c r="A63" s="8" t="inlineStr">
        <is>
          <t>FTC-059</t>
        </is>
      </c>
      <c r="B63" s="8" t="n"/>
      <c r="C63" s="8" t="inlineStr">
        <is>
          <t>None: None</t>
        </is>
      </c>
      <c r="D63" s="8" t="n"/>
      <c r="E63" s="8" t="inlineStr">
        <is>
          <t>Payment is customer-confirmed (target behaviour)</t>
        </is>
      </c>
      <c r="F63" s="8" t="inlineStr">
        <is>
          <t>—</t>
        </is>
      </c>
      <c r="G63" s="8" t="inlineStr">
        <is>
          <t>—</t>
        </is>
      </c>
      <c r="H63" s="8" t="inlineStr">
        <is>
          <t>Then staff have no way to take payment
And only the customer can pay, in the app, with an idempotency key</t>
        </is>
      </c>
      <c r="I63" s="8" t="inlineStr">
        <is>
          <t>No automated scenario — schedule in UAT.</t>
        </is>
      </c>
      <c r="J63" s="8" t="inlineStr">
        <is>
          <t>Not Run</t>
        </is>
      </c>
      <c r="K63" s="8" t="n"/>
      <c r="L63" s="8" t="n"/>
      <c r="M63" s="8" t="inlineStr">
        <is>
          <t>Manual</t>
        </is>
      </c>
      <c r="N63" s="8" t="n"/>
      <c r="O63" s="8" t="inlineStr"/>
    </row>
    <row r="64">
      <c r="A64" s="8" t="inlineStr">
        <is>
          <t>FTC-060</t>
        </is>
      </c>
      <c r="B64" s="8" t="n"/>
      <c r="C64" s="8" t="inlineStr">
        <is>
          <t>None: None</t>
        </is>
      </c>
      <c r="D64" s="8" t="n"/>
      <c r="E64" s="8" t="inlineStr">
        <is>
          <t>Signed link</t>
        </is>
      </c>
      <c r="F64" s="8" t="inlineStr">
        <is>
          <t>Given a reminder link signed for my profile</t>
        </is>
      </c>
      <c r="G64" s="8" t="inlineStr">
        <is>
          <t>When the app opens it</t>
        </is>
      </c>
      <c r="H64" s="8" t="inlineStr">
        <is>
          <t>Then I get a one-hour session limited to my vehicle</t>
        </is>
      </c>
      <c r="I64" s="8" t="inlineStr">
        <is>
          <t>No automated scenario — schedule in UAT.</t>
        </is>
      </c>
      <c r="J64" s="8" t="inlineStr">
        <is>
          <t>Not Run</t>
        </is>
      </c>
      <c r="K64" s="8" t="n"/>
      <c r="L64" s="8" t="n"/>
      <c r="M64" s="8" t="inlineStr">
        <is>
          <t>Manual</t>
        </is>
      </c>
      <c r="N64" s="8" t="n"/>
      <c r="O64" s="8" t="inlineStr"/>
    </row>
    <row r="65">
      <c r="A65" s="8" t="inlineStr">
        <is>
          <t>FTC-061</t>
        </is>
      </c>
      <c r="B65" s="8" t="n"/>
      <c r="C65" s="8" t="inlineStr">
        <is>
          <t>None: None</t>
        </is>
      </c>
      <c r="D65" s="8" t="n"/>
      <c r="E65" s="8" t="inlineStr">
        <is>
          <t>Tampered link</t>
        </is>
      </c>
      <c r="F65" s="8" t="inlineStr">
        <is>
          <t>—</t>
        </is>
      </c>
      <c r="G65" s="8" t="inlineStr">
        <is>
          <t>When the signature does not match</t>
        </is>
      </c>
      <c r="H65" s="8" t="inlineStr">
        <is>
          <t>Then I see "Link invalid or expired"</t>
        </is>
      </c>
      <c r="I65" s="8" t="inlineStr">
        <is>
          <t>No automated scenario — schedule in UAT.</t>
        </is>
      </c>
      <c r="J65" s="8" t="inlineStr">
        <is>
          <t>Not Run</t>
        </is>
      </c>
      <c r="K65" s="8" t="n"/>
      <c r="L65" s="8" t="n"/>
      <c r="M65" s="8" t="inlineStr">
        <is>
          <t>Manual</t>
        </is>
      </c>
      <c r="N65" s="8" t="n"/>
      <c r="O65" s="8" t="inlineStr"/>
    </row>
    <row r="66">
      <c r="A66" s="8" t="inlineStr">
        <is>
          <t>FTC-062</t>
        </is>
      </c>
      <c r="B66" s="8" t="n"/>
      <c r="C66" s="8" t="inlineStr">
        <is>
          <t>None: None</t>
        </is>
      </c>
      <c r="D66" s="8" t="n"/>
      <c r="E66" s="8" t="inlineStr">
        <is>
          <t>Low confidence asks for confirmation</t>
        </is>
      </c>
      <c r="F66" s="8" t="inlineStr">
        <is>
          <t>Given my expiry confidence is 0.5</t>
        </is>
      </c>
      <c r="G66" s="8" t="inlineStr">
        <is>
          <t>When I open Home</t>
        </is>
      </c>
      <c r="H66" s="8" t="inlineStr">
        <is>
          <t>Then the cover card shows the expiry with a "Confirm my expiry" action
And up to 3 approved benefits with reasons are shown</t>
        </is>
      </c>
      <c r="I66" s="8" t="inlineStr">
        <is>
          <t>No automated scenario — schedule in UAT.</t>
        </is>
      </c>
      <c r="J66" s="8" t="inlineStr">
        <is>
          <t>Not Run</t>
        </is>
      </c>
      <c r="K66" s="8" t="n"/>
      <c r="L66" s="8" t="n"/>
      <c r="M66" s="8" t="inlineStr">
        <is>
          <t>Manual</t>
        </is>
      </c>
      <c r="N66" s="8" t="n"/>
      <c r="O66" s="8" t="inlineStr"/>
    </row>
    <row r="67">
      <c r="A67" s="8" t="inlineStr">
        <is>
          <t>FTC-063</t>
        </is>
      </c>
      <c r="B67" s="8" t="n"/>
      <c r="C67" s="8" t="inlineStr">
        <is>
          <t>None: None</t>
        </is>
      </c>
      <c r="D67" s="8" t="n"/>
      <c r="E67" s="8" t="inlineStr">
        <is>
          <t>Declare expiry</t>
        </is>
      </c>
      <c r="F67" s="8" t="inlineStr">
        <is>
          <t>—</t>
        </is>
      </c>
      <c r="G67" s="8" t="inlineStr">
        <is>
          <t>When I declare expiry 14/02/2027 with insurer "PTI"</t>
        </is>
      </c>
      <c r="H67" s="8" t="inlineStr">
        <is>
          <t>Then my expiry becomes 14/02/2027 from my declaration, and my journey and touchpoints are re-planned</t>
        </is>
      </c>
      <c r="I67" s="8" t="inlineStr">
        <is>
          <t>No automated scenario — schedule in UAT.</t>
        </is>
      </c>
      <c r="J67" s="8" t="inlineStr">
        <is>
          <t>Not Run</t>
        </is>
      </c>
      <c r="K67" s="8" t="n"/>
      <c r="L67" s="8" t="n"/>
      <c r="M67" s="8" t="inlineStr">
        <is>
          <t>Manual</t>
        </is>
      </c>
      <c r="N67" s="8" t="n"/>
      <c r="O67" s="8" t="inlineStr"/>
    </row>
    <row r="68">
      <c r="A68" s="8" t="inlineStr">
        <is>
          <t>FTC-064</t>
        </is>
      </c>
      <c r="B68" s="8" t="n"/>
      <c r="C68" s="8" t="inlineStr">
        <is>
          <t>None: None</t>
        </is>
      </c>
      <c r="D68" s="8" t="n"/>
      <c r="E68" s="8" t="inlineStr">
        <is>
          <t>Happy path</t>
        </is>
      </c>
      <c r="F68" s="8" t="inlineStr">
        <is>
          <t>Given my TNDS ends 30/11/2026 and my category is car under 6 seats</t>
        </is>
      </c>
      <c r="G68" s="8" t="inlineStr">
        <is>
          <t>When I ask for a TNDS quote
When I confirm with an idempotency key</t>
        </is>
      </c>
      <c r="H68" s="8" t="inlineStr">
        <is>
          <t>Then cover starts 01/12/2026 and the total is VND 480,700 (VND 437,000 + VND 43,700 VAT)
Then my wallet is debited once, a policy with a certificate number starting "TAS-" is issued and my journeys stop</t>
        </is>
      </c>
      <c r="I68" s="8" t="inlineStr">
        <is>
          <t>No automated scenario — schedule in UAT.</t>
        </is>
      </c>
      <c r="J68" s="8" t="inlineStr">
        <is>
          <t>Not Run</t>
        </is>
      </c>
      <c r="K68" s="8" t="n"/>
      <c r="L68" s="8" t="n"/>
      <c r="M68" s="8" t="inlineStr">
        <is>
          <t>Manual</t>
        </is>
      </c>
      <c r="N68" s="8" t="n"/>
      <c r="O68" s="8" t="inlineStr"/>
    </row>
    <row r="69">
      <c r="A69" s="8" t="inlineStr">
        <is>
          <t>FTC-065</t>
        </is>
      </c>
      <c r="B69" s="8" t="n"/>
      <c r="C69" s="8" t="inlineStr">
        <is>
          <t>None: None</t>
        </is>
      </c>
      <c r="D69" s="8" t="n"/>
      <c r="E69" s="8" t="inlineStr">
        <is>
          <t>Double tap</t>
        </is>
      </c>
      <c r="F69" s="8" t="inlineStr">
        <is>
          <t>—</t>
        </is>
      </c>
      <c r="G69" s="8" t="inlineStr">
        <is>
          <t>When the same purchase is retried with the same idempotency key</t>
        </is>
      </c>
      <c r="H69" s="8" t="inlineStr">
        <is>
          <t>Then the original order is returned and no second debit occurs
And if the earlier attempt failed, reusing its key is refused (HTTP 409)</t>
        </is>
      </c>
      <c r="I69" s="8" t="inlineStr">
        <is>
          <t>No automated scenario — schedule in UAT.</t>
        </is>
      </c>
      <c r="J69" s="8" t="inlineStr">
        <is>
          <t>Not Run</t>
        </is>
      </c>
      <c r="K69" s="8" t="n"/>
      <c r="L69" s="8" t="n"/>
      <c r="M69" s="8" t="inlineStr">
        <is>
          <t>Manual</t>
        </is>
      </c>
      <c r="N69" s="8" t="n"/>
      <c r="O69" s="8" t="inlineStr"/>
    </row>
    <row r="70">
      <c r="A70" s="8" t="inlineStr">
        <is>
          <t>FTC-066</t>
        </is>
      </c>
      <c r="B70" s="8" t="n"/>
      <c r="C70" s="8" t="inlineStr">
        <is>
          <t>None: None</t>
        </is>
      </c>
      <c r="D70" s="8" t="n"/>
      <c r="E70" s="8" t="inlineStr">
        <is>
          <t>Expired quote</t>
        </is>
      </c>
      <c r="F70" s="8" t="inlineStr">
        <is>
          <t>Given the quote was created more than 24 hours ago</t>
        </is>
      </c>
      <c r="G70" s="8" t="inlineStr">
        <is>
          <t>—</t>
        </is>
      </c>
      <c r="H70" s="8" t="inlineStr">
        <is>
          <t>Then the purchase fails with "Quote expired — please re-quote"</t>
        </is>
      </c>
      <c r="I70" s="8" t="inlineStr">
        <is>
          <t>No automated scenario — schedule in UAT.</t>
        </is>
      </c>
      <c r="J70" s="8" t="inlineStr">
        <is>
          <t>Not Run</t>
        </is>
      </c>
      <c r="K70" s="8" t="n"/>
      <c r="L70" s="8" t="n"/>
      <c r="M70" s="8" t="inlineStr">
        <is>
          <t>Manual</t>
        </is>
      </c>
      <c r="N70" s="8" t="n"/>
      <c r="O70" s="8" t="inlineStr"/>
    </row>
    <row r="71">
      <c r="A71" s="8" t="inlineStr">
        <is>
          <t>FTC-067</t>
        </is>
      </c>
      <c r="B71" s="8" t="n"/>
      <c r="C71" s="8" t="inlineStr">
        <is>
          <t>None: None</t>
        </is>
      </c>
      <c r="D71" s="8" t="n"/>
      <c r="E71" s="8" t="inlineStr">
        <is>
          <t>Verification without PII</t>
        </is>
      </c>
      <c r="F71" s="8" t="inlineStr">
        <is>
          <t>Given my certificate "TAS-TNDSCA-2026-100123" is in force today</t>
        </is>
      </c>
      <c r="G71" s="8" t="inlineStr">
        <is>
          <t>When anyone opens its verification page</t>
        </is>
      </c>
      <c r="H71" s="8" t="inlineStr">
        <is>
          <t>Then they see "valid", the product, masked plate "30A-***.45", insurer "TASCO Insurance" and the start and end dates
And no name or phone is shown</t>
        </is>
      </c>
      <c r="I71" s="8" t="inlineStr">
        <is>
          <t>No automated scenario — schedule in UAT.</t>
        </is>
      </c>
      <c r="J71" s="8" t="inlineStr">
        <is>
          <t>Not Run</t>
        </is>
      </c>
      <c r="K71" s="8" t="n"/>
      <c r="L71" s="8" t="n"/>
      <c r="M71" s="8" t="inlineStr">
        <is>
          <t>Manual</t>
        </is>
      </c>
      <c r="N71" s="8" t="n"/>
      <c r="O71" s="8" t="inlineStr"/>
    </row>
    <row r="72">
      <c r="A72" s="8" t="inlineStr">
        <is>
          <t>FTC-068</t>
        </is>
      </c>
      <c r="B72" s="8" t="n"/>
      <c r="C72" s="8" t="inlineStr">
        <is>
          <t>None: None</t>
        </is>
      </c>
      <c r="D72" s="8" t="n"/>
      <c r="E72" s="8" t="inlineStr">
        <is>
          <t>Unknown certificate</t>
        </is>
      </c>
      <c r="F72" s="8" t="inlineStr">
        <is>
          <t>—</t>
        </is>
      </c>
      <c r="G72" s="8" t="inlineStr">
        <is>
          <t>—</t>
        </is>
      </c>
      <c r="H72" s="8" t="inlineStr">
        <is>
          <t>Then the page shows "not valid" with reason "not found"</t>
        </is>
      </c>
      <c r="I72" s="8" t="inlineStr">
        <is>
          <t>No automated scenario — schedule in UAT.</t>
        </is>
      </c>
      <c r="J72" s="8" t="inlineStr">
        <is>
          <t>Not Run</t>
        </is>
      </c>
      <c r="K72" s="8" t="n"/>
      <c r="L72" s="8" t="n"/>
      <c r="M72" s="8" t="inlineStr">
        <is>
          <t>Manual</t>
        </is>
      </c>
      <c r="N72" s="8" t="n"/>
      <c r="O72" s="8" t="inlineStr"/>
    </row>
    <row r="73">
      <c r="A73" s="8" t="inlineStr">
        <is>
          <t>FTC-069</t>
        </is>
      </c>
      <c r="B73" s="8" t="n"/>
      <c r="C73" s="8" t="inlineStr">
        <is>
          <t>None: None</t>
        </is>
      </c>
      <c r="D73" s="8" t="n"/>
      <c r="E73" s="8" t="inlineStr">
        <is>
          <t>Multi-year</t>
        </is>
      </c>
      <c r="F73" s="8" t="inlineStr">
        <is>
          <t>—</t>
        </is>
      </c>
      <c r="G73" s="8" t="inlineStr">
        <is>
          <t>When I ask for a TNDS quote for 3 years</t>
        </is>
      </c>
      <c r="H73" s="8" t="inlineStr">
        <is>
          <t>Then the premium equals the annual premium × (days in term ÷ 365) plus 10% VAT, and cover ends 3 years after it starts</t>
        </is>
      </c>
      <c r="I73" s="8" t="inlineStr">
        <is>
          <t>No automated scenario — schedule in UAT.</t>
        </is>
      </c>
      <c r="J73" s="8" t="inlineStr">
        <is>
          <t>Not Run</t>
        </is>
      </c>
      <c r="K73" s="8" t="n"/>
      <c r="L73" s="8" t="n"/>
      <c r="M73" s="8" t="inlineStr">
        <is>
          <t>Manual</t>
        </is>
      </c>
      <c r="N73" s="8" t="n"/>
      <c r="O73" s="8" t="inlineStr"/>
    </row>
    <row r="74">
      <c r="A74" s="8" t="inlineStr">
        <is>
          <t>FTC-070</t>
        </is>
      </c>
      <c r="B74" s="8" t="n"/>
      <c r="C74" s="8" t="inlineStr">
        <is>
          <t>None: None</t>
        </is>
      </c>
      <c r="D74" s="8" t="n"/>
      <c r="E74" s="8" t="inlineStr">
        <is>
          <t>Out of range</t>
        </is>
      </c>
      <c r="F74" s="8" t="inlineStr">
        <is>
          <t>—</t>
        </is>
      </c>
      <c r="G74" s="8" t="inlineStr">
        <is>
          <t>When I ask for 4 years</t>
        </is>
      </c>
      <c r="H74" s="8" t="inlineStr">
        <is>
          <t>Then the request is refused (1 to 3 years)</t>
        </is>
      </c>
      <c r="I74" s="8" t="inlineStr">
        <is>
          <t>No automated scenario — schedule in UAT.</t>
        </is>
      </c>
      <c r="J74" s="8" t="inlineStr">
        <is>
          <t>Not Run</t>
        </is>
      </c>
      <c r="K74" s="8" t="n"/>
      <c r="L74" s="8" t="n"/>
      <c r="M74" s="8" t="inlineStr">
        <is>
          <t>Manual</t>
        </is>
      </c>
      <c r="N74" s="8" t="n"/>
      <c r="O74" s="8" t="inlineStr"/>
    </row>
    <row r="75">
      <c r="A75" s="8" t="inlineStr">
        <is>
          <t>FTC-071</t>
        </is>
      </c>
      <c r="B75" s="8" t="n"/>
      <c r="C75" s="8" t="inlineStr">
        <is>
          <t>None: None</t>
        </is>
      </c>
      <c r="D75" s="8" t="n"/>
      <c r="E75" s="8" t="inlineStr">
        <is>
          <t>Issuance failure after payment</t>
        </is>
      </c>
      <c r="F75" s="8" t="inlineStr">
        <is>
          <t>Given the wallet debit succeeded and TASCO core issuance fails</t>
        </is>
      </c>
      <c r="G75" s="8" t="inlineStr">
        <is>
          <t>—</t>
        </is>
      </c>
      <c r="H75" s="8" t="inlineStr">
        <is>
          <t>Then any issued lines are cancelled, the payment is refunded in full, the order shows "issuance failed, refunded" and the failure is audited</t>
        </is>
      </c>
      <c r="I75" s="8" t="inlineStr">
        <is>
          <t>No automated scenario — schedule in UAT.</t>
        </is>
      </c>
      <c r="J75" s="8" t="inlineStr">
        <is>
          <t>Not Run</t>
        </is>
      </c>
      <c r="K75" s="8" t="n"/>
      <c r="L75" s="8" t="n"/>
      <c r="M75" s="8" t="inlineStr">
        <is>
          <t>Manual</t>
        </is>
      </c>
      <c r="N75" s="8" t="n"/>
      <c r="O75" s="8" t="inlineStr"/>
    </row>
    <row r="76">
      <c r="A76" s="8" t="inlineStr">
        <is>
          <t>FTC-072</t>
        </is>
      </c>
      <c r="B76" s="8" t="n"/>
      <c r="C76" s="8" t="inlineStr">
        <is>
          <t>None: None</t>
        </is>
      </c>
      <c r="D76" s="8" t="n"/>
      <c r="E76" s="8" t="inlineStr">
        <is>
          <t>Quick renewal is offered</t>
        </is>
      </c>
      <c r="F76" s="8" t="inlineStr">
        <is>
          <t>Given my TASCO TNDS policy is due for renewal and has no physical damage cover
And I confirmed my vehicle use and seats within the last 365 days
And my VETC wallet balance covers the premium</t>
        </is>
      </c>
      <c r="G76" s="8" t="inlineStr">
        <is>
          <t>When I open Home</t>
        </is>
      </c>
      <c r="H76" s="8" t="inlineStr">
        <is>
          <t>Then I see "Gia hạn nhanh", and "Tùy chỉnh gói bảo hiểm" for the full flow</t>
        </is>
      </c>
      <c r="I76" s="8" t="inlineStr">
        <is>
          <t>No automated scenario — schedule in UAT.</t>
        </is>
      </c>
      <c r="J76" s="8" t="inlineStr">
        <is>
          <t>Not Run</t>
        </is>
      </c>
      <c r="K76" s="8" t="n"/>
      <c r="L76" s="8" t="n"/>
      <c r="M76" s="8" t="inlineStr">
        <is>
          <t>Manual</t>
        </is>
      </c>
      <c r="N76" s="8" t="n"/>
      <c r="O76" s="8" t="inlineStr"/>
    </row>
    <row r="77">
      <c r="A77" s="8" t="inlineStr">
        <is>
          <t>FTC-073</t>
        </is>
      </c>
      <c r="B77" s="8" t="n"/>
      <c r="C77" s="8" t="inlineStr">
        <is>
          <t>None: None</t>
        </is>
      </c>
      <c r="D77" s="8" t="n"/>
      <c r="E77" s="8" t="inlineStr">
        <is>
          <t>Renew in three steps</t>
        </is>
      </c>
      <c r="F77" s="8" t="inlineStr">
        <is>
          <t>—</t>
        </is>
      </c>
      <c r="G77" s="8" t="inlineStr">
        <is>
          <t>When I tap "Gia hạn nhanh", tick the declaration and tap "Xác nhận thanh toán"</t>
        </is>
      </c>
      <c r="H77" s="8" t="inlineStr">
        <is>
          <t>Then my wallet is debited once and a TNDS policy is issued for the same term as my current one
And Home no longer offers quick renewal because the vehicle is renewed</t>
        </is>
      </c>
      <c r="I77" s="8" t="inlineStr">
        <is>
          <t>No automated scenario — schedule in UAT.</t>
        </is>
      </c>
      <c r="J77" s="8" t="inlineStr">
        <is>
          <t>Not Run</t>
        </is>
      </c>
      <c r="K77" s="8" t="n"/>
      <c r="L77" s="8" t="n"/>
      <c r="M77" s="8" t="inlineStr">
        <is>
          <t>Manual</t>
        </is>
      </c>
      <c r="N77" s="8" t="n"/>
      <c r="O77" s="8" t="inlineStr"/>
    </row>
    <row r="78">
      <c r="A78" s="8" t="inlineStr">
        <is>
          <t>FTC-074</t>
        </is>
      </c>
      <c r="B78" s="8" t="n"/>
      <c r="C78" s="8" t="inlineStr">
        <is>
          <t>None: None</t>
        </is>
      </c>
      <c r="D78" s="8" t="n"/>
      <c r="E78" s="8" t="inlineStr">
        <is>
          <t>Vehicle details not confirmed</t>
        </is>
      </c>
      <c r="F78" s="8" t="inlineStr">
        <is>
          <t>Given I have not confirmed my vehicle use and seats</t>
        </is>
      </c>
      <c r="G78" s="8" t="inlineStr">
        <is>
          <t>When I open Home</t>
        </is>
      </c>
      <c r="H78" s="8" t="inlineStr">
        <is>
          <t>Then quick renewal is not offered and the reason "Cần xác nhận thông tin xe" is shown
And the full renewal flow is still available</t>
        </is>
      </c>
      <c r="I78" s="8" t="inlineStr">
        <is>
          <t>No automated scenario — schedule in UAT.</t>
        </is>
      </c>
      <c r="J78" s="8" t="inlineStr">
        <is>
          <t>Not Run</t>
        </is>
      </c>
      <c r="K78" s="8" t="n"/>
      <c r="L78" s="8" t="n"/>
      <c r="M78" s="8" t="inlineStr">
        <is>
          <t>Manual</t>
        </is>
      </c>
      <c r="N78" s="8" t="n"/>
      <c r="O78" s="8" t="inlineStr"/>
    </row>
    <row r="79">
      <c r="A79" s="8" t="inlineStr">
        <is>
          <t>FTC-075</t>
        </is>
      </c>
      <c r="B79" s="8" t="n"/>
      <c r="C79" s="8" t="inlineStr">
        <is>
          <t>None: None</t>
        </is>
      </c>
      <c r="D79" s="8" t="n"/>
      <c r="E79" s="8" t="inlineStr">
        <is>
          <t>The server decides the cover</t>
        </is>
      </c>
      <c r="F79" s="8" t="inlineStr">
        <is>
          <t>Given I qualify for quick renewal</t>
        </is>
      </c>
      <c r="G79" s="8" t="inlineStr">
        <is>
          <t>When the app asks for a quick quote with physical damage cover added</t>
        </is>
      </c>
      <c r="H79" s="8" t="inlineStr">
        <is>
          <t>Then the quote contains TNDS only</t>
        </is>
      </c>
      <c r="I79" s="8" t="inlineStr">
        <is>
          <t>No automated scenario — schedule in UAT.</t>
        </is>
      </c>
      <c r="J79" s="8" t="inlineStr">
        <is>
          <t>Not Run</t>
        </is>
      </c>
      <c r="K79" s="8" t="n"/>
      <c r="L79" s="8" t="n"/>
      <c r="M79" s="8" t="inlineStr">
        <is>
          <t>Manual</t>
        </is>
      </c>
      <c r="N79" s="8" t="n"/>
      <c r="O79" s="8" t="inlineStr"/>
    </row>
    <row r="80">
      <c r="A80" s="8" t="inlineStr">
        <is>
          <t>FTC-076</t>
        </is>
      </c>
      <c r="B80" s="8" t="n"/>
      <c r="C80" s="8" t="inlineStr">
        <is>
          <t>None: None</t>
        </is>
      </c>
      <c r="D80" s="8" t="n"/>
      <c r="E80" s="8" t="inlineStr">
        <is>
          <t>Switched off by the business</t>
        </is>
      </c>
      <c r="F80" s="8" t="inlineStr">
        <is>
          <t>Given an approved rule change switches quick renewal off</t>
        </is>
      </c>
      <c r="G80" s="8" t="inlineStr">
        <is>
          <t>When I open Home</t>
        </is>
      </c>
      <c r="H80" s="8" t="inlineStr">
        <is>
          <t>Then quick renewal is not offered and the full flow is shown</t>
        </is>
      </c>
      <c r="I80" s="8" t="inlineStr">
        <is>
          <t>No automated scenario — schedule in UAT.</t>
        </is>
      </c>
      <c r="J80" s="8" t="inlineStr">
        <is>
          <t>Not Run</t>
        </is>
      </c>
      <c r="K80" s="8" t="n"/>
      <c r="L80" s="8" t="n"/>
      <c r="M80" s="8" t="inlineStr">
        <is>
          <t>Manual</t>
        </is>
      </c>
      <c r="N80" s="8" t="n"/>
      <c r="O80" s="8" t="inlineStr"/>
    </row>
    <row r="81">
      <c r="A81" s="8" t="inlineStr">
        <is>
          <t>FTC-077</t>
        </is>
      </c>
      <c r="B81" s="8" t="n"/>
      <c r="C81" s="8" t="inlineStr">
        <is>
          <t>None: None</t>
        </is>
      </c>
      <c r="D81" s="8" t="n"/>
      <c r="E81" s="8" t="inlineStr">
        <is>
          <t>Personalised ranking</t>
        </is>
      </c>
      <c r="F81" s="8" t="inlineStr">
        <is>
          <t>Given I drove 2,400 km on highways in 90 days and made 40 toll trips in 30 days</t>
        </is>
      </c>
      <c r="G81" s="8" t="inlineStr">
        <is>
          <t>—</t>
        </is>
      </c>
      <c r="H81" s="8" t="inlineStr">
        <is>
          <t>Then "24/7 roadside assistance" ranks first with the reason "drives 2400 km on highways per quarter"</t>
        </is>
      </c>
      <c r="I81" s="8" t="inlineStr">
        <is>
          <t>No automated scenario — schedule in UAT.</t>
        </is>
      </c>
      <c r="J81" s="8" t="inlineStr">
        <is>
          <t>Not Run</t>
        </is>
      </c>
      <c r="K81" s="8" t="n"/>
      <c r="L81" s="8" t="n"/>
      <c r="M81" s="8" t="inlineStr">
        <is>
          <t>Manual</t>
        </is>
      </c>
      <c r="N81" s="8" t="n"/>
      <c r="O81" s="8" t="inlineStr"/>
    </row>
    <row r="82">
      <c r="A82" s="8" t="inlineStr">
        <is>
          <t>FTC-078</t>
        </is>
      </c>
      <c r="B82" s="8" t="n"/>
      <c r="C82" s="8" t="inlineStr">
        <is>
          <t>None: None</t>
        </is>
      </c>
      <c r="D82" s="8" t="n"/>
      <c r="E82" s="8" t="inlineStr">
        <is>
          <t>Legal gating</t>
        </is>
      </c>
      <c r="F82" s="8" t="inlineStr">
        <is>
          <t>Given "VETC loyalty points" are pending legal review</t>
        </is>
      </c>
      <c r="G82" s="8" t="inlineStr">
        <is>
          <t>—</t>
        </is>
      </c>
      <c r="H82" s="8" t="inlineStr">
        <is>
          <t>Then they never appear on my Home screen
But staff see them, flagged, in Customer 360</t>
        </is>
      </c>
      <c r="I82" s="8" t="inlineStr">
        <is>
          <t>No automated scenario — schedule in UAT.</t>
        </is>
      </c>
      <c r="J82" s="8" t="inlineStr">
        <is>
          <t>Not Run</t>
        </is>
      </c>
      <c r="K82" s="8" t="n"/>
      <c r="L82" s="8" t="n"/>
      <c r="M82" s="8" t="inlineStr">
        <is>
          <t>Manual</t>
        </is>
      </c>
      <c r="N82" s="8" t="n"/>
      <c r="O82" s="8" t="inlineStr"/>
    </row>
    <row r="83">
      <c r="A83" s="8" t="inlineStr">
        <is>
          <t>FTC-079</t>
        </is>
      </c>
      <c r="B83" s="8" t="n"/>
      <c r="C83" s="8" t="inlineStr">
        <is>
          <t>None: None</t>
        </is>
      </c>
      <c r="D83" s="8" t="n"/>
      <c r="E83" s="8" t="inlineStr">
        <is>
          <t>PA add-on</t>
        </is>
      </c>
      <c r="F83" s="8" t="inlineStr">
        <is>
          <t>—</t>
        </is>
      </c>
      <c r="G83" s="8" t="inlineStr">
        <is>
          <t>When I quote TNDS with personal accident cover for 7 seats at VND 10,000,000</t>
        </is>
      </c>
      <c r="H83" s="8" t="inlineStr">
        <is>
          <t>Then the accident cover premium is VND 70,000 with no VAT
And the "Protect your passengers" benefit explains that passengers are not covered by TNDS in a family-size vehicle</t>
        </is>
      </c>
      <c r="I83" s="8" t="inlineStr">
        <is>
          <t>No automated scenario — schedule in UAT.</t>
        </is>
      </c>
      <c r="J83" s="8" t="inlineStr">
        <is>
          <t>Not Run</t>
        </is>
      </c>
      <c r="K83" s="8" t="n"/>
      <c r="L83" s="8" t="n"/>
      <c r="M83" s="8" t="inlineStr">
        <is>
          <t>Manual</t>
        </is>
      </c>
      <c r="N83" s="8" t="n"/>
      <c r="O83" s="8" t="inlineStr"/>
    </row>
    <row r="84">
      <c r="A84" s="8" t="inlineStr">
        <is>
          <t>FTC-080</t>
        </is>
      </c>
      <c r="B84" s="8" t="n"/>
      <c r="C84" s="8" t="inlineStr">
        <is>
          <t>None: None</t>
        </is>
      </c>
      <c r="D84" s="8" t="n"/>
      <c r="E84" s="8" t="inlineStr">
        <is>
          <t>PD rating</t>
        </is>
      </c>
      <c r="F84" s="8" t="inlineStr">
        <is>
          <t>Given my car is 2 years old, personal use</t>
        </is>
      </c>
      <c r="G84" s="8" t="inlineStr">
        <is>
          <t>When I quote physical damage cover with sum insured VND 700,000,000 and deductible VND 1,000,000</t>
        </is>
      </c>
      <c r="H84" s="8" t="inlineStr">
        <is>
          <t>Then the net premium is 700,000,000 × 1.5% × (1 − 10%) = VND 9,450,000 plus 10% VAT
And payment is blocked until a vehicle inspection is recorded</t>
        </is>
      </c>
      <c r="I84" s="8" t="inlineStr">
        <is>
          <t>No automated scenario — schedule in UAT.</t>
        </is>
      </c>
      <c r="J84" s="8" t="inlineStr">
        <is>
          <t>Not Run</t>
        </is>
      </c>
      <c r="K84" s="8" t="n"/>
      <c r="L84" s="8" t="n"/>
      <c r="M84" s="8" t="inlineStr">
        <is>
          <t>Manual</t>
        </is>
      </c>
      <c r="N84" s="8" t="n"/>
      <c r="O84" s="8" t="inlineStr"/>
    </row>
    <row r="85">
      <c r="A85" s="8" t="inlineStr">
        <is>
          <t>FTC-081</t>
        </is>
      </c>
      <c r="B85" s="8" t="n"/>
      <c r="C85" s="8" t="inlineStr">
        <is>
          <t>None: None</t>
        </is>
      </c>
      <c r="D85" s="8" t="n"/>
      <c r="E85" s="8" t="inlineStr">
        <is>
          <t>Referral above the online limit</t>
        </is>
      </c>
      <c r="F85" s="8" t="inlineStr">
        <is>
          <t>—</t>
        </is>
      </c>
      <c r="G85" s="8" t="inlineStr">
        <is>
          <t>When the sum insured is VND 6,000,000,000</t>
        </is>
      </c>
      <c r="H85" s="8" t="inlineStr">
        <is>
          <t>Then the quote fails with "Sum insured exceeds the online limit — refer to underwriter"</t>
        </is>
      </c>
      <c r="I85" s="8" t="inlineStr">
        <is>
          <t>No automated scenario — schedule in UAT.</t>
        </is>
      </c>
      <c r="J85" s="8" t="inlineStr">
        <is>
          <t>Not Run</t>
        </is>
      </c>
      <c r="K85" s="8" t="n"/>
      <c r="L85" s="8" t="n"/>
      <c r="M85" s="8" t="inlineStr">
        <is>
          <t>Manual</t>
        </is>
      </c>
      <c r="N85" s="8" t="n"/>
      <c r="O85" s="8" t="inlineStr"/>
    </row>
    <row r="86">
      <c r="A86" s="8" t="inlineStr">
        <is>
          <t>FTC-082</t>
        </is>
      </c>
      <c r="B86" s="8" t="n"/>
      <c r="C86" s="8" t="inlineStr">
        <is>
          <t>None: None</t>
        </is>
      </c>
      <c r="D86" s="8" t="n"/>
      <c r="E86" s="8" t="inlineStr">
        <is>
          <t>Cross-sell scheduled</t>
        </is>
      </c>
      <c r="F86" s="8" t="inlineStr">
        <is>
          <t>Given a customer with marketing consent bought TNDS only</t>
        </is>
      </c>
      <c r="G86" s="8" t="inlineStr">
        <is>
          <t>When the issued policy is processed</t>
        </is>
      </c>
      <c r="H86" s="8" t="inlineStr">
        <is>
          <t>Then a cross-sell touchpoint is scheduled for tomorrow by app push or Zalo ZNS</t>
        </is>
      </c>
      <c r="I86" s="8" t="inlineStr">
        <is>
          <t>No automated scenario — schedule in UAT.</t>
        </is>
      </c>
      <c r="J86" s="8" t="inlineStr">
        <is>
          <t>Not Run</t>
        </is>
      </c>
      <c r="K86" s="8" t="n"/>
      <c r="L86" s="8" t="n"/>
      <c r="M86" s="8" t="inlineStr">
        <is>
          <t>Manual</t>
        </is>
      </c>
      <c r="N86" s="8" t="n"/>
      <c r="O86" s="8" t="inlineStr"/>
    </row>
    <row r="87">
      <c r="A87" s="8" t="inlineStr">
        <is>
          <t>FTC-083</t>
        </is>
      </c>
      <c r="B87" s="8" t="n"/>
      <c r="C87" s="8" t="inlineStr">
        <is>
          <t>None: None</t>
        </is>
      </c>
      <c r="D87" s="8" t="n"/>
      <c r="E87" s="8" t="inlineStr">
        <is>
          <t>Already bought add-ons or no consent</t>
        </is>
      </c>
      <c r="F87" s="8" t="inlineStr">
        <is>
          <t>Given the order included personal accident cover, or the customer has not given marketing consent</t>
        </is>
      </c>
      <c r="G87" s="8" t="inlineStr">
        <is>
          <t>—</t>
        </is>
      </c>
      <c r="H87" s="8" t="inlineStr">
        <is>
          <t>Then no cross-sell touchpoint is scheduled</t>
        </is>
      </c>
      <c r="I87" s="8" t="inlineStr">
        <is>
          <t>No automated scenario — schedule in UAT.</t>
        </is>
      </c>
      <c r="J87" s="8" t="inlineStr">
        <is>
          <t>Not Run</t>
        </is>
      </c>
      <c r="K87" s="8" t="n"/>
      <c r="L87" s="8" t="n"/>
      <c r="M87" s="8" t="inlineStr">
        <is>
          <t>Manual</t>
        </is>
      </c>
      <c r="N87" s="8" t="n"/>
      <c r="O87" s="8" t="inlineStr"/>
    </row>
    <row r="88">
      <c r="A88" s="8" t="inlineStr">
        <is>
          <t>FTC-084</t>
        </is>
      </c>
      <c r="B88" s="8" t="n"/>
      <c r="C88" s="8" t="inlineStr">
        <is>
          <t>None: None</t>
        </is>
      </c>
      <c r="D88" s="8" t="n"/>
      <c r="E88" s="8" t="inlineStr">
        <is>
          <t>Referral disabled</t>
        </is>
      </c>
      <c r="F88" s="8" t="inlineStr">
        <is>
          <t>Given referral is switched off and pending legal review</t>
        </is>
      </c>
      <c r="G88" s="8" t="inlineStr">
        <is>
          <t>When legal approves and a new referral version, switched on, is approved by a second user</t>
        </is>
      </c>
      <c r="H88" s="8" t="inlineStr">
        <is>
          <t>Then no referral offer appears in any customer channel
Then referral rewards are non-cash VETC points only, at most 5 referrals a month</t>
        </is>
      </c>
      <c r="I88" s="8" t="inlineStr">
        <is>
          <t>No automated scenario — schedule in UAT.</t>
        </is>
      </c>
      <c r="J88" s="8" t="inlineStr">
        <is>
          <t>Not Run</t>
        </is>
      </c>
      <c r="K88" s="8" t="n"/>
      <c r="L88" s="8" t="n"/>
      <c r="M88" s="8" t="inlineStr">
        <is>
          <t>Manual</t>
        </is>
      </c>
      <c r="N88" s="8" t="n"/>
      <c r="O88" s="8" t="inlineStr"/>
    </row>
    <row r="89">
      <c r="A89" s="8" t="inlineStr">
        <is>
          <t>FTC-085</t>
        </is>
      </c>
      <c r="B89" s="8" t="n"/>
      <c r="C89" s="8" t="inlineStr">
        <is>
          <t>None: None</t>
        </is>
      </c>
      <c r="D89" s="8" t="n"/>
      <c r="E89" s="8" t="inlineStr">
        <is>
          <t>Confirm-before-debit</t>
        </is>
      </c>
      <c r="F89" s="8" t="inlineStr">
        <is>
          <t>Given I opted in to auto-renew</t>
        </is>
      </c>
      <c r="G89" s="8" t="inlineStr">
        <is>
          <t>When my expiry is 7 days away</t>
        </is>
      </c>
      <c r="H89" s="8" t="inlineStr">
        <is>
          <t>Then I receive a confirmation request in the VETC app
And my wallet is debited only after I confirm
And if I do not confirm, no debit happens and normal reminders continue</t>
        </is>
      </c>
      <c r="I89" s="8" t="inlineStr">
        <is>
          <t>No automated scenario — schedule in UAT.</t>
        </is>
      </c>
      <c r="J89" s="8" t="inlineStr">
        <is>
          <t>Not Run</t>
        </is>
      </c>
      <c r="K89" s="8" t="n"/>
      <c r="L89" s="8" t="n"/>
      <c r="M89" s="8" t="inlineStr">
        <is>
          <t>Manual</t>
        </is>
      </c>
      <c r="N89" s="8" t="n"/>
      <c r="O89" s="8" t="inlineStr"/>
    </row>
    <row r="90">
      <c r="A90" s="8" t="inlineStr">
        <is>
          <t>FTC-086</t>
        </is>
      </c>
      <c r="B90" s="8" t="n"/>
      <c r="C90" s="8" t="inlineStr">
        <is>
          <t>None: None</t>
        </is>
      </c>
      <c r="D90" s="8" t="n"/>
      <c r="E90" s="8" t="inlineStr">
        <is>
          <t>Onboard and issue key</t>
        </is>
      </c>
      <c r="F90" s="8" t="inlineStr">
        <is>
          <t>—</t>
        </is>
      </c>
      <c r="G90" s="8" t="inlineStr">
        <is>
          <t>When I onboard "ABC Showroom", type "Car showroom", region "Hà Nội"
When I issue an API key</t>
        </is>
      </c>
      <c r="H90" s="8" t="inlineStr">
        <is>
          <t>Then an active partner "P-XXXXXXXX" exists
Then a key starting "tpk_" is shown once, only its hash and an 8-character prefix are stored, and the issue is audited</t>
        </is>
      </c>
      <c r="I90" s="8" t="inlineStr">
        <is>
          <t>No automated scenario — schedule in UAT.</t>
        </is>
      </c>
      <c r="J90" s="8" t="inlineStr">
        <is>
          <t>Not Run</t>
        </is>
      </c>
      <c r="K90" s="8" t="n"/>
      <c r="L90" s="8" t="n"/>
      <c r="M90" s="8" t="inlineStr">
        <is>
          <t>Manual</t>
        </is>
      </c>
      <c r="N90" s="8" t="n"/>
      <c r="O90" s="8" t="inlineStr"/>
    </row>
    <row r="91">
      <c r="A91" s="8" t="inlineStr">
        <is>
          <t>FTC-087</t>
        </is>
      </c>
      <c r="B91" s="8" t="n"/>
      <c r="C91" s="8" t="inlineStr">
        <is>
          <t>None: None</t>
        </is>
      </c>
      <c r="D91" s="8" t="n"/>
      <c r="E91" s="8" t="inlineStr">
        <is>
          <t>Unknown plate becomes a new profile</t>
        </is>
      </c>
      <c r="F91" s="8" t="inlineStr">
        <is>
          <t>Given plate "51K-888.99" is not in the VETC base</t>
        </is>
      </c>
      <c r="G91" s="8" t="inlineStr">
        <is>
          <t>When I quote TNDS for a car with plate, holder name, phone, 5 seats, personal use and marketing consent</t>
        </is>
      </c>
      <c r="H91" s="8" t="inlineStr">
        <is>
          <t>Then a showroom partner record is ingested and a profile "51K88899" is created
And a quote on the partner channel, tagged with my partner ID, is returned</t>
        </is>
      </c>
      <c r="I91" s="8" t="inlineStr">
        <is>
          <t>No automated scenario — schedule in UAT.</t>
        </is>
      </c>
      <c r="J91" s="8" t="inlineStr">
        <is>
          <t>Not Run</t>
        </is>
      </c>
      <c r="K91" s="8" t="n"/>
      <c r="L91" s="8" t="n"/>
      <c r="M91" s="8" t="inlineStr">
        <is>
          <t>Manual</t>
        </is>
      </c>
      <c r="N91" s="8" t="n"/>
      <c r="O91" s="8" t="inlineStr"/>
    </row>
    <row r="92">
      <c r="A92" s="8" t="inlineStr">
        <is>
          <t>FTC-088</t>
        </is>
      </c>
      <c r="B92" s="8" t="n"/>
      <c r="C92" s="8" t="inlineStr">
        <is>
          <t>None: None</t>
        </is>
      </c>
      <c r="D92" s="8" t="n"/>
      <c r="E92" s="8" t="inlineStr">
        <is>
          <t>Product not sold on partner channel</t>
        </is>
      </c>
      <c r="F92" s="8" t="inlineStr">
        <is>
          <t>—</t>
        </is>
      </c>
      <c r="G92" s="8" t="inlineStr">
        <is>
          <t>When I quote TNDS for a motorbike</t>
        </is>
      </c>
      <c r="H92" s="8" t="inlineStr">
        <is>
          <t>Then it fails with "TNDS_MOTORBIKE is not sold on channel partner_api"</t>
        </is>
      </c>
      <c r="I92" s="8" t="inlineStr">
        <is>
          <t>No automated scenario — schedule in UAT.</t>
        </is>
      </c>
      <c r="J92" s="8" t="inlineStr">
        <is>
          <t>Not Run</t>
        </is>
      </c>
      <c r="K92" s="8" t="n"/>
      <c r="L92" s="8" t="n"/>
      <c r="M92" s="8" t="inlineStr">
        <is>
          <t>Manual</t>
        </is>
      </c>
      <c r="N92" s="8" t="n"/>
      <c r="O92" s="8" t="inlineStr"/>
    </row>
    <row r="93">
      <c r="A93" s="8" t="inlineStr">
        <is>
          <t>FTC-089</t>
        </is>
      </c>
      <c r="B93" s="8" t="n"/>
      <c r="C93" s="8" t="inlineStr">
        <is>
          <t>None: None</t>
        </is>
      </c>
      <c r="D93" s="8" t="n"/>
      <c r="E93" s="8" t="inlineStr">
        <is>
          <t>Own quote</t>
        </is>
      </c>
      <c r="F93" s="8" t="inlineStr">
        <is>
          <t>—</t>
        </is>
      </c>
      <c r="G93" s="8" t="inlineStr">
        <is>
          <t>When I bind my own quote with an idempotency key</t>
        </is>
      </c>
      <c r="H93" s="8" t="inlineStr">
        <is>
          <t>Then the policy is issued and the order records my commission lines
And no VETC wallet is debited; the payment reference starts "PARTNER-" because I collected the premium</t>
        </is>
      </c>
      <c r="I93" s="8" t="inlineStr">
        <is>
          <t>No automated scenario — schedule in UAT.</t>
        </is>
      </c>
      <c r="J93" s="8" t="inlineStr">
        <is>
          <t>Not Run</t>
        </is>
      </c>
      <c r="K93" s="8" t="n"/>
      <c r="L93" s="8" t="n"/>
      <c r="M93" s="8" t="inlineStr">
        <is>
          <t>Manual</t>
        </is>
      </c>
      <c r="N93" s="8" t="n"/>
      <c r="O93" s="8" t="inlineStr"/>
    </row>
    <row r="94">
      <c r="A94" s="8" t="inlineStr">
        <is>
          <t>FTC-090</t>
        </is>
      </c>
      <c r="B94" s="8" t="n"/>
      <c r="C94" s="8" t="inlineStr">
        <is>
          <t>None: None</t>
        </is>
      </c>
      <c r="D94" s="8" t="n"/>
      <c r="E94" s="8" t="inlineStr">
        <is>
          <t>Another partner's quote</t>
        </is>
      </c>
      <c r="F94" s="8" t="inlineStr">
        <is>
          <t>—</t>
        </is>
      </c>
      <c r="G94" s="8" t="inlineStr">
        <is>
          <t>When I bind a quote created by another partner</t>
        </is>
      </c>
      <c r="H94" s="8" t="inlineStr">
        <is>
          <t>Then I receive "Quote not found"</t>
        </is>
      </c>
      <c r="I94" s="8" t="inlineStr">
        <is>
          <t>No automated scenario — schedule in UAT.</t>
        </is>
      </c>
      <c r="J94" s="8" t="inlineStr">
        <is>
          <t>Not Run</t>
        </is>
      </c>
      <c r="K94" s="8" t="n"/>
      <c r="L94" s="8" t="n"/>
      <c r="M94" s="8" t="inlineStr">
        <is>
          <t>Manual</t>
        </is>
      </c>
      <c r="N94" s="8" t="n"/>
      <c r="O94" s="8" t="inlineStr"/>
    </row>
    <row r="95">
      <c r="A95" s="8" t="inlineStr">
        <is>
          <t>FTC-091</t>
        </is>
      </c>
      <c r="B95" s="8" t="n"/>
      <c r="C95" s="8" t="inlineStr">
        <is>
          <t>None: None</t>
        </is>
      </c>
      <c r="D95" s="8" t="n"/>
      <c r="E95" s="8" t="inlineStr">
        <is>
          <t>Statement</t>
        </is>
      </c>
      <c r="F95" s="8" t="inlineStr">
        <is>
          <t>Given as a showroom I sold one TNDS car policy (net VND 437,000) and one personal accident policy (net VND 100,000)</t>
        </is>
      </c>
      <c r="G95" s="8" t="inlineStr">
        <is>
          <t>When I request my statement from 01/10/2026 to 31/10/2026</t>
        </is>
      </c>
      <c r="H95" s="8" t="inlineStr">
        <is>
          <t>Then it shows TNDS at 5% = VND 21,850 and personal accident at 15% = VND 15,000, total VND 36,850</t>
        </is>
      </c>
      <c r="I95" s="8" t="inlineStr">
        <is>
          <t>No automated scenario — schedule in UAT.</t>
        </is>
      </c>
      <c r="J95" s="8" t="inlineStr">
        <is>
          <t>Not Run</t>
        </is>
      </c>
      <c r="K95" s="8" t="n"/>
      <c r="L95" s="8" t="n"/>
      <c r="M95" s="8" t="inlineStr">
        <is>
          <t>Manual</t>
        </is>
      </c>
      <c r="N95" s="8" t="n"/>
      <c r="O95" s="8" t="inlineStr"/>
    </row>
    <row r="96">
      <c r="A96" s="8" t="inlineStr">
        <is>
          <t>FTC-092</t>
        </is>
      </c>
      <c r="B96" s="8" t="n"/>
      <c r="C96" s="8" t="inlineStr">
        <is>
          <t>None: None</t>
        </is>
      </c>
      <c r="D96" s="8" t="n"/>
      <c r="E96" s="8" t="inlineStr">
        <is>
          <t>Cap enforced</t>
        </is>
      </c>
      <c r="F96" s="8" t="inlineStr">
        <is>
          <t>Given a draft commission rule sets the TNDS rate at 7%</t>
        </is>
      </c>
      <c r="G96" s="8" t="inlineStr">
        <is>
          <t>—</t>
        </is>
      </c>
      <c r="H96" s="8" t="inlineStr">
        <is>
          <t>Then validation fails with "exceeds statutory cap 0.05 for TNDS_CAR"</t>
        </is>
      </c>
      <c r="I96" s="8" t="inlineStr">
        <is>
          <t>No automated scenario — schedule in UAT.</t>
        </is>
      </c>
      <c r="J96" s="8" t="inlineStr">
        <is>
          <t>Not Run</t>
        </is>
      </c>
      <c r="K96" s="8" t="n"/>
      <c r="L96" s="8" t="n"/>
      <c r="M96" s="8" t="inlineStr">
        <is>
          <t>Manual</t>
        </is>
      </c>
      <c r="N96" s="8" t="n"/>
      <c r="O96" s="8" t="inlineStr"/>
    </row>
    <row r="97">
      <c r="A97" s="8" t="inlineStr">
        <is>
          <t>FTC-093</t>
        </is>
      </c>
      <c r="B97" s="8" t="n"/>
      <c r="C97" s="8" t="inlineStr">
        <is>
          <t>None: None</t>
        </is>
      </c>
      <c r="D97" s="8" t="n"/>
      <c r="E97" s="8" t="inlineStr">
        <is>
          <t>Suspension blocks API access</t>
        </is>
      </c>
      <c r="F97" s="8" t="inlineStr">
        <is>
          <t>—</t>
        </is>
      </c>
      <c r="G97" s="8" t="inlineStr">
        <is>
          <t>When I suspend a partner</t>
        </is>
      </c>
      <c r="H97" s="8" t="inlineStr">
        <is>
          <t>Then later calls with that partner's keys are rejected as unauthenticated</t>
        </is>
      </c>
      <c r="I97" s="8" t="inlineStr">
        <is>
          <t>No automated scenario — schedule in UAT.</t>
        </is>
      </c>
      <c r="J97" s="8" t="inlineStr">
        <is>
          <t>Not Run</t>
        </is>
      </c>
      <c r="K97" s="8" t="n"/>
      <c r="L97" s="8" t="n"/>
      <c r="M97" s="8" t="inlineStr">
        <is>
          <t>Manual</t>
        </is>
      </c>
      <c r="N97" s="8" t="n"/>
      <c r="O97" s="8" t="inlineStr"/>
    </row>
    <row r="98">
      <c r="A98" s="8" t="inlineStr">
        <is>
          <t>FTC-094</t>
        </is>
      </c>
      <c r="B98" s="8" t="n"/>
      <c r="C98" s="8" t="inlineStr">
        <is>
          <t>None: None</t>
        </is>
      </c>
      <c r="D98" s="8" t="n"/>
      <c r="E98" s="8" t="inlineStr">
        <is>
          <t>Fleet routing</t>
        </is>
      </c>
      <c r="F98" s="8" t="inlineStr">
        <is>
          <t>Given a company-owned vehicle</t>
        </is>
      </c>
      <c r="G98" s="8" t="inlineStr">
        <is>
          <t>—</t>
        </is>
      </c>
      <c r="H98" s="8" t="inlineStr">
        <is>
          <t>Then its next best action is "Route to fleet / B2B team"
And assistant campaigns skip it</t>
        </is>
      </c>
      <c r="I98" s="8" t="inlineStr">
        <is>
          <t>No automated scenario — schedule in UAT.</t>
        </is>
      </c>
      <c r="J98" s="8" t="inlineStr">
        <is>
          <t>Not Run</t>
        </is>
      </c>
      <c r="K98" s="8" t="n"/>
      <c r="L98" s="8" t="n"/>
      <c r="M98" s="8" t="inlineStr">
        <is>
          <t>Manual</t>
        </is>
      </c>
      <c r="N98" s="8" t="n"/>
      <c r="O98" s="8" t="inlineStr"/>
    </row>
    <row r="99">
      <c r="A99" s="8" t="inlineStr">
        <is>
          <t>FTC-095</t>
        </is>
      </c>
      <c r="B99" s="8" t="n"/>
      <c r="C99" s="8" t="inlineStr">
        <is>
          <t>None: None</t>
        </is>
      </c>
      <c r="D99" s="8" t="n"/>
      <c r="E99" s="8" t="inlineStr">
        <is>
          <t>No B2C journeys for fleet (target behaviour)</t>
        </is>
      </c>
      <c r="F99" s="8" t="inlineStr">
        <is>
          <t>—</t>
        </is>
      </c>
      <c r="G99" s="8" t="inlineStr">
        <is>
          <t>—</t>
        </is>
      </c>
      <c r="H99" s="8" t="inlineStr">
        <is>
          <t>Then company-owned vehicles are not enrolled in any consumer journey and have no touchpoints scheduled</t>
        </is>
      </c>
      <c r="I99" s="8" t="inlineStr">
        <is>
          <t>No automated scenario — schedule in UAT.</t>
        </is>
      </c>
      <c r="J99" s="8" t="inlineStr">
        <is>
          <t>Not Run</t>
        </is>
      </c>
      <c r="K99" s="8" t="n"/>
      <c r="L99" s="8" t="n"/>
      <c r="M99" s="8" t="inlineStr">
        <is>
          <t>Manual</t>
        </is>
      </c>
      <c r="N99" s="8" t="n"/>
      <c r="O99" s="8" t="inlineStr"/>
    </row>
    <row r="100">
      <c r="A100" s="8" t="inlineStr">
        <is>
          <t>FTC-096</t>
        </is>
      </c>
      <c r="B100" s="8" t="n"/>
      <c r="C100" s="8" t="inlineStr">
        <is>
          <t>None: None</t>
        </is>
      </c>
      <c r="D100" s="8" t="n"/>
      <c r="E100" s="8" t="inlineStr">
        <is>
          <t>Fleet view</t>
        </is>
      </c>
      <c r="F100" s="8" t="inlineStr">
        <is>
          <t>Given my company has 40 vehicles in the VETC base</t>
        </is>
      </c>
      <c r="G100" s="8" t="inlineStr">
        <is>
          <t>When I open the fleet dashboard</t>
        </is>
      </c>
      <c r="H100" s="8" t="inlineStr">
        <is>
          <t>Then I see each plate's cover status and expiry, soonest first
And I can renew a selection in one order and receive one consolidated VAT invoice</t>
        </is>
      </c>
      <c r="I100" s="8" t="inlineStr">
        <is>
          <t>No automated scenario — schedule in UAT.</t>
        </is>
      </c>
      <c r="J100" s="8" t="inlineStr">
        <is>
          <t>Not Run</t>
        </is>
      </c>
      <c r="K100" s="8" t="n"/>
      <c r="L100" s="8" t="n"/>
      <c r="M100" s="8" t="inlineStr">
        <is>
          <t>Manual</t>
        </is>
      </c>
      <c r="N100" s="8" t="n"/>
      <c r="O100" s="8" t="inlineStr"/>
    </row>
    <row r="101">
      <c r="A101" s="8" t="inlineStr">
        <is>
          <t>FTC-097</t>
        </is>
      </c>
      <c r="B101" s="8" t="n"/>
      <c r="C101" s="8" t="inlineStr">
        <is>
          <t>None: None</t>
        </is>
      </c>
      <c r="D101" s="8" t="n"/>
      <c r="E101" s="8" t="inlineStr">
        <is>
          <t>Valid FNOL</t>
        </is>
      </c>
      <c r="F101" s="8" t="inlineStr">
        <is>
          <t>Given I hold policy "TAS-TNDSCA-2026-100123", in force from 01/01/2026 to 31/12/2026</t>
        </is>
      </c>
      <c r="G101" s="8" t="inlineStr">
        <is>
          <t>When I report an incident on 05/10/2026 with a description, location and 3 photos</t>
        </is>
      </c>
      <c r="H101" s="8" t="inlineStr">
        <is>
          <t>Then a claim "CL-XXXXXXXX" with status "Submitted" and an acknowledgement due 4 hours from now is created
And I receive an acknowledgement message</t>
        </is>
      </c>
      <c r="I101" s="8" t="inlineStr">
        <is>
          <t>No automated scenario — schedule in UAT.</t>
        </is>
      </c>
      <c r="J101" s="8" t="inlineStr">
        <is>
          <t>Not Run</t>
        </is>
      </c>
      <c r="K101" s="8" t="n"/>
      <c r="L101" s="8" t="n"/>
      <c r="M101" s="8" t="inlineStr">
        <is>
          <t>Manual</t>
        </is>
      </c>
      <c r="N101" s="8" t="n"/>
      <c r="O101" s="8" t="inlineStr"/>
    </row>
    <row r="102">
      <c r="A102" s="8" t="inlineStr">
        <is>
          <t>FTC-098</t>
        </is>
      </c>
      <c r="B102" s="8" t="n"/>
      <c r="C102" s="8" t="inlineStr">
        <is>
          <t>None: None</t>
        </is>
      </c>
      <c r="D102" s="8" t="n"/>
      <c r="E102" s="8" t="inlineStr">
        <is>
          <t>Outside policy period</t>
        </is>
      </c>
      <c r="F102" s="8" t="inlineStr">
        <is>
          <t>—</t>
        </is>
      </c>
      <c r="G102" s="8" t="inlineStr">
        <is>
          <t>When the incident date is 01/02/2027</t>
        </is>
      </c>
      <c r="H102" s="8" t="inlineStr">
        <is>
          <t>Then the report fails with "Incident date is outside the policy period"</t>
        </is>
      </c>
      <c r="I102" s="8" t="inlineStr">
        <is>
          <t>No automated scenario — schedule in UAT.</t>
        </is>
      </c>
      <c r="J102" s="8" t="inlineStr">
        <is>
          <t>Not Run</t>
        </is>
      </c>
      <c r="K102" s="8" t="n"/>
      <c r="L102" s="8" t="n"/>
      <c r="M102" s="8" t="inlineStr">
        <is>
          <t>Manual</t>
        </is>
      </c>
      <c r="N102" s="8" t="n"/>
      <c r="O102" s="8" t="inlineStr"/>
    </row>
    <row r="103">
      <c r="A103" s="8" t="inlineStr">
        <is>
          <t>FTC-099</t>
        </is>
      </c>
      <c r="B103" s="8" t="n"/>
      <c r="C103" s="8" t="inlineStr">
        <is>
          <t>None: None</t>
        </is>
      </c>
      <c r="D103" s="8" t="n"/>
      <c r="E103" s="8" t="inlineStr">
        <is>
          <t>Not my policy</t>
        </is>
      </c>
      <c r="F103" s="8" t="inlineStr">
        <is>
          <t>—</t>
        </is>
      </c>
      <c r="G103" s="8" t="inlineStr">
        <is>
          <t>When I refer to another customer's policy</t>
        </is>
      </c>
      <c r="H103" s="8" t="inlineStr">
        <is>
          <t>Then I receive "Policy not found"</t>
        </is>
      </c>
      <c r="I103" s="8" t="inlineStr">
        <is>
          <t>No automated scenario — schedule in UAT.</t>
        </is>
      </c>
      <c r="J103" s="8" t="inlineStr">
        <is>
          <t>Not Run</t>
        </is>
      </c>
      <c r="K103" s="8" t="n"/>
      <c r="L103" s="8" t="n"/>
      <c r="M103" s="8" t="inlineStr">
        <is>
          <t>Manual</t>
        </is>
      </c>
      <c r="N103" s="8" t="n"/>
      <c r="O103" s="8" t="inlineStr"/>
    </row>
    <row r="104">
      <c r="A104" s="8" t="inlineStr">
        <is>
          <t>FTC-100</t>
        </is>
      </c>
      <c r="B104" s="8" t="n"/>
      <c r="C104" s="8" t="inlineStr">
        <is>
          <t>None: None</t>
        </is>
      </c>
      <c r="D104" s="8" t="n"/>
      <c r="E104" s="8" t="inlineStr">
        <is>
          <t>Valid transition</t>
        </is>
      </c>
      <c r="F104" s="8" t="inlineStr">
        <is>
          <t>Given a claim with status "Submitted"</t>
        </is>
      </c>
      <c r="G104" s="8" t="inlineStr">
        <is>
          <t>When I set it to "Acknowledged" with a note</t>
        </is>
      </c>
      <c r="H104" s="8" t="inlineStr">
        <is>
          <t>Then its history records the change with my name and the audit trail records it</t>
        </is>
      </c>
      <c r="I104" s="8" t="inlineStr">
        <is>
          <t>No automated scenario — schedule in UAT.</t>
        </is>
      </c>
      <c r="J104" s="8" t="inlineStr">
        <is>
          <t>Not Run</t>
        </is>
      </c>
      <c r="K104" s="8" t="n"/>
      <c r="L104" s="8" t="n"/>
      <c r="M104" s="8" t="inlineStr">
        <is>
          <t>Manual</t>
        </is>
      </c>
      <c r="N104" s="8" t="n"/>
      <c r="O104" s="8" t="inlineStr"/>
    </row>
    <row r="105">
      <c r="A105" s="8" t="inlineStr">
        <is>
          <t>FTC-101</t>
        </is>
      </c>
      <c r="B105" s="8" t="n"/>
      <c r="C105" s="8" t="inlineStr">
        <is>
          <t>None: None</t>
        </is>
      </c>
      <c r="D105" s="8" t="n"/>
      <c r="E105" s="8" t="inlineStr">
        <is>
          <t>Skipping steps</t>
        </is>
      </c>
      <c r="F105" s="8" t="inlineStr">
        <is>
          <t>—</t>
        </is>
      </c>
      <c r="G105" s="8" t="inlineStr">
        <is>
          <t>When I try to set a "Submitted" claim to "Paid"</t>
        </is>
      </c>
      <c r="H105" s="8" t="inlineStr">
        <is>
          <t>Then it fails with "Cannot move claim from submitted to paid"</t>
        </is>
      </c>
      <c r="I105" s="8" t="inlineStr">
        <is>
          <t>No automated scenario — schedule in UAT.</t>
        </is>
      </c>
      <c r="J105" s="8" t="inlineStr">
        <is>
          <t>Not Run</t>
        </is>
      </c>
      <c r="K105" s="8" t="n"/>
      <c r="L105" s="8" t="n"/>
      <c r="M105" s="8" t="inlineStr">
        <is>
          <t>Manual</t>
        </is>
      </c>
      <c r="N105" s="8" t="n"/>
      <c r="O105" s="8" t="inlineStr"/>
    </row>
    <row r="106">
      <c r="A106" s="8" t="inlineStr">
        <is>
          <t>FTC-102</t>
        </is>
      </c>
      <c r="B106" s="8" t="n"/>
      <c r="C106" s="8" t="inlineStr">
        <is>
          <t>None: None</t>
        </is>
      </c>
      <c r="D106" s="8" t="n"/>
      <c r="E106" s="8" t="inlineStr">
        <is>
          <t>My claims only</t>
        </is>
      </c>
      <c r="F106" s="8" t="inlineStr">
        <is>
          <t>—</t>
        </is>
      </c>
      <c r="G106" s="8" t="inlineStr">
        <is>
          <t>When I open my claims</t>
        </is>
      </c>
      <c r="H106" s="8" t="inlineStr">
        <is>
          <t>Then only claims for my vehicle are listed, with current status and history</t>
        </is>
      </c>
      <c r="I106" s="8" t="inlineStr">
        <is>
          <t>No automated scenario — schedule in UAT.</t>
        </is>
      </c>
      <c r="J106" s="8" t="inlineStr">
        <is>
          <t>Not Run</t>
        </is>
      </c>
      <c r="K106" s="8" t="n"/>
      <c r="L106" s="8" t="n"/>
      <c r="M106" s="8" t="inlineStr">
        <is>
          <t>Manual</t>
        </is>
      </c>
      <c r="N106" s="8" t="n"/>
      <c r="O106" s="8" t="inlineStr"/>
    </row>
    <row r="107">
      <c r="A107" s="8" t="inlineStr">
        <is>
          <t>FTC-103</t>
        </is>
      </c>
      <c r="B107" s="8" t="n"/>
      <c r="C107" s="8" t="inlineStr">
        <is>
          <t>None: None</t>
        </is>
      </c>
      <c r="D107" s="8" t="n"/>
      <c r="E107" s="8" t="inlineStr">
        <is>
          <t>Withdraw call consent</t>
        </is>
      </c>
      <c r="F107" s="8" t="inlineStr">
        <is>
          <t>—</t>
        </is>
      </c>
      <c r="G107" s="8" t="inlineStr">
        <is>
          <t>When I switch call consent off</t>
        </is>
      </c>
      <c r="H107" s="8" t="inlineStr">
        <is>
          <t>Then no assistant or telesales call is made to me
And the change is audited and survives source reloads</t>
        </is>
      </c>
      <c r="I107" s="8" t="inlineStr">
        <is>
          <t>No automated scenario — schedule in UAT.</t>
        </is>
      </c>
      <c r="J107" s="8" t="inlineStr">
        <is>
          <t>Not Run</t>
        </is>
      </c>
      <c r="K107" s="8" t="n"/>
      <c r="L107" s="8" t="n"/>
      <c r="M107" s="8" t="inlineStr">
        <is>
          <t>Manual</t>
        </is>
      </c>
      <c r="N107" s="8" t="n"/>
      <c r="O107" s="8" t="inlineStr"/>
    </row>
    <row r="108">
      <c r="A108" s="8" t="inlineStr">
        <is>
          <t>FTC-104</t>
        </is>
      </c>
      <c r="B108" s="8" t="n"/>
      <c r="C108" s="8" t="inlineStr">
        <is>
          <t>None: None</t>
        </is>
      </c>
      <c r="D108" s="8" t="n"/>
      <c r="E108" s="8" t="inlineStr">
        <is>
          <t>Self-service export</t>
        </is>
      </c>
      <c r="F108" s="8" t="inlineStr">
        <is>
          <t>—</t>
        </is>
      </c>
      <c r="G108" s="8" t="inlineStr">
        <is>
          <t>When I download my data</t>
        </is>
      </c>
      <c r="H108" s="8" t="inlineStr">
        <is>
          <t>Then I receive my profile, lead, policies, quotes, orders, claims, telesales tasks, messages, source records (without internal fields) and assistant sessions
And the export is audited</t>
        </is>
      </c>
      <c r="I108" s="8" t="inlineStr">
        <is>
          <t>No automated scenario — schedule in UAT.</t>
        </is>
      </c>
      <c r="J108" s="8" t="inlineStr">
        <is>
          <t>Not Run</t>
        </is>
      </c>
      <c r="K108" s="8" t="n"/>
      <c r="L108" s="8" t="n"/>
      <c r="M108" s="8" t="inlineStr">
        <is>
          <t>Manual</t>
        </is>
      </c>
      <c r="N108" s="8" t="n"/>
      <c r="O108" s="8" t="inlineStr"/>
    </row>
    <row r="109">
      <c r="A109" s="8" t="inlineStr">
        <is>
          <t>FTC-105</t>
        </is>
      </c>
      <c r="B109" s="8" t="n"/>
      <c r="C109" s="8" t="inlineStr">
        <is>
          <t>None: None</t>
        </is>
      </c>
      <c r="D109" s="8" t="n"/>
      <c r="E109" s="8" t="inlineStr">
        <is>
          <t>Active policy blocks erasure</t>
        </is>
      </c>
      <c r="F109" s="8" t="inlineStr">
        <is>
          <t>Given the customer has a policy in force</t>
        </is>
      </c>
      <c r="G109" s="8" t="inlineStr">
        <is>
          <t>When I request erasure</t>
        </is>
      </c>
      <c r="H109" s="8" t="inlineStr">
        <is>
          <t>Then it fails with "Active policy in force — personal data must be retained until expiry (legal obligation)"</t>
        </is>
      </c>
      <c r="I109" s="8" t="inlineStr">
        <is>
          <t>No automated scenario — schedule in UAT.</t>
        </is>
      </c>
      <c r="J109" s="8" t="inlineStr">
        <is>
          <t>Not Run</t>
        </is>
      </c>
      <c r="K109" s="8" t="n"/>
      <c r="L109" s="8" t="n"/>
      <c r="M109" s="8" t="inlineStr">
        <is>
          <t>Manual</t>
        </is>
      </c>
      <c r="N109" s="8" t="n"/>
      <c r="O109" s="8" t="inlineStr"/>
    </row>
    <row r="110">
      <c r="A110" s="8" t="inlineStr">
        <is>
          <t>FTC-106</t>
        </is>
      </c>
      <c r="B110" s="8" t="n"/>
      <c r="C110" s="8" t="inlineStr">
        <is>
          <t>None: None</t>
        </is>
      </c>
      <c r="D110" s="8" t="n"/>
      <c r="E110" s="8" t="inlineStr">
        <is>
          <t>Erasure</t>
        </is>
      </c>
      <c r="F110" s="8" t="inlineStr">
        <is>
          <t>Given no policy is in force</t>
        </is>
      </c>
      <c r="G110" s="8" t="inlineStr">
        <is>
          <t>When I erase the subject's data</t>
        </is>
      </c>
      <c r="H110" s="8" t="inlineStr">
        <is>
          <t>Then name and phone are removed, the subject is set to do-not-contact, the lead is deleted, message text reads "[erased]" and transcripts are emptied
And personal data in handoffs, claim text and assistant signals is scrubbed, and the subject's sessions end</t>
        </is>
      </c>
      <c r="I110" s="8" t="inlineStr">
        <is>
          <t>No automated scenario — schedule in UAT.</t>
        </is>
      </c>
      <c r="J110" s="8" t="inlineStr">
        <is>
          <t>Not Run</t>
        </is>
      </c>
      <c r="K110" s="8" t="n"/>
      <c r="L110" s="8" t="n"/>
      <c r="M110" s="8" t="inlineStr">
        <is>
          <t>Manual</t>
        </is>
      </c>
      <c r="N110" s="8" t="n"/>
      <c r="O110" s="8" t="inlineStr"/>
    </row>
    <row r="111">
      <c r="A111" s="8" t="inlineStr">
        <is>
          <t>FTC-107</t>
        </is>
      </c>
      <c r="B111" s="8" t="n"/>
      <c r="C111" s="8" t="inlineStr">
        <is>
          <t>None: None</t>
        </is>
      </c>
      <c r="D111" s="8" t="n"/>
      <c r="E111" s="8" t="inlineStr">
        <is>
          <t>Masking</t>
        </is>
      </c>
      <c r="F111" s="8" t="inlineStr">
        <is>
          <t>Given I am not allowed to see personal data</t>
        </is>
      </c>
      <c r="G111" s="8" t="inlineStr">
        <is>
          <t>When I open a customer in Customer 360</t>
        </is>
      </c>
      <c r="H111" s="8" t="inlineStr">
        <is>
          <t>Then name and phone are masked
And the view is audited as "personal data not visible"</t>
        </is>
      </c>
      <c r="I111" s="8" t="inlineStr">
        <is>
          <t>No automated scenario — schedule in UAT.</t>
        </is>
      </c>
      <c r="J111" s="8" t="inlineStr">
        <is>
          <t>Not Run</t>
        </is>
      </c>
      <c r="K111" s="8" t="n"/>
      <c r="L111" s="8" t="n"/>
      <c r="M111" s="8" t="inlineStr">
        <is>
          <t>Manual</t>
        </is>
      </c>
      <c r="N111" s="8" t="n"/>
      <c r="O111" s="8" t="inlineStr"/>
    </row>
    <row r="112">
      <c r="A112" s="8" t="inlineStr">
        <is>
          <t>FTC-108</t>
        </is>
      </c>
      <c r="B112" s="8" t="n"/>
      <c r="C112" s="8" t="inlineStr">
        <is>
          <t>None: None</t>
        </is>
      </c>
      <c r="D112" s="8" t="n"/>
      <c r="E112" s="8" t="inlineStr">
        <is>
          <t>Log a request with its due time</t>
        </is>
      </c>
      <c r="F112" s="8" t="inlineStr">
        <is>
          <t>Given a customer phones the hotline at 09:00 on 08/10/2026 and asks for a copy of their data</t>
        </is>
      </c>
      <c r="G112" s="8" t="inlineStr">
        <is>
          <t>When I log an access request for plate "30A-123.45" on channel "Hotline"</t>
        </is>
      </c>
      <c r="H112" s="8" t="inlineStr">
        <is>
          <t>Then the request is "Received" and due at 09:00 on 11/10/2026, 72 hours later
And the register shows the masked name and the plate only
And the request is audited</t>
        </is>
      </c>
      <c r="I112" s="8" t="inlineStr">
        <is>
          <t>No automated scenario — schedule in UAT.</t>
        </is>
      </c>
      <c r="J112" s="8" t="inlineStr">
        <is>
          <t>Not Run</t>
        </is>
      </c>
      <c r="K112" s="8" t="n"/>
      <c r="L112" s="8" t="n"/>
      <c r="M112" s="8" t="inlineStr">
        <is>
          <t>Manual</t>
        </is>
      </c>
      <c r="N112" s="8" t="n"/>
      <c r="O112" s="8" t="inlineStr"/>
    </row>
    <row r="113">
      <c r="A113" s="8" t="inlineStr">
        <is>
          <t>FTC-109</t>
        </is>
      </c>
      <c r="B113" s="8" t="n"/>
      <c r="C113" s="8" t="inlineStr">
        <is>
          <t>None: None</t>
        </is>
      </c>
      <c r="D113" s="8" t="n"/>
      <c r="E113" s="8" t="inlineStr">
        <is>
          <t>Identity is verified before data leaves TASCO</t>
        </is>
      </c>
      <c r="F113" s="8" t="inlineStr">
        <is>
          <t>Given an open access request whose requester's identity is not yet verified</t>
        </is>
      </c>
      <c r="G113" s="8" t="inlineStr">
        <is>
          <t>When I try to export the data
When I record the verification and export</t>
        </is>
      </c>
      <c r="H113" s="8" t="inlineStr">
        <is>
          <t>Then the export is refused until I record that identity was verified
Then a file named "TASCO-data-30A-123.45-2026-10-08.json" is downloaded and the request is "Completed"
And its timeline shows received, in progress, identity verified and completed</t>
        </is>
      </c>
      <c r="I113" s="8" t="inlineStr">
        <is>
          <t>No automated scenario — schedule in UAT.</t>
        </is>
      </c>
      <c r="J113" s="8" t="inlineStr">
        <is>
          <t>Not Run</t>
        </is>
      </c>
      <c r="K113" s="8" t="n"/>
      <c r="L113" s="8" t="n"/>
      <c r="M113" s="8" t="inlineStr">
        <is>
          <t>Manual</t>
        </is>
      </c>
      <c r="N113" s="8" t="n"/>
      <c r="O113" s="8" t="inlineStr"/>
    </row>
    <row r="114">
      <c r="A114" s="8" t="inlineStr">
        <is>
          <t>FTC-110</t>
        </is>
      </c>
      <c r="B114" s="8" t="n"/>
      <c r="C114" s="8" t="inlineStr">
        <is>
          <t>None: None</t>
        </is>
      </c>
      <c r="D114" s="8" t="n"/>
      <c r="E114" s="8" t="inlineStr">
        <is>
          <t>Erasure while a policy is in force</t>
        </is>
      </c>
      <c r="F114" s="8" t="inlineStr">
        <is>
          <t>Given an erasure request with identity verified from a customer whose policy is in force until 31/12/2026</t>
        </is>
      </c>
      <c r="G114" s="8" t="inlineStr">
        <is>
          <t>When I give a reason, type the plate and erase</t>
        </is>
      </c>
      <c r="H114" s="8" t="inlineStr">
        <is>
          <t>Then nothing is erased and the request is "Refused" with a reason that starts "Hợp đồng bảo hiểm còn hiệu lực đến 31/12/2026"</t>
        </is>
      </c>
      <c r="I114" s="8" t="inlineStr">
        <is>
          <t>No automated scenario — schedule in UAT.</t>
        </is>
      </c>
      <c r="J114" s="8" t="inlineStr">
        <is>
          <t>Not Run</t>
        </is>
      </c>
      <c r="K114" s="8" t="n"/>
      <c r="L114" s="8" t="n"/>
      <c r="M114" s="8" t="inlineStr">
        <is>
          <t>Manual</t>
        </is>
      </c>
      <c r="N114" s="8" t="n"/>
      <c r="O114" s="8" t="inlineStr"/>
    </row>
    <row r="115">
      <c r="A115" s="8" t="inlineStr">
        <is>
          <t>FTC-111</t>
        </is>
      </c>
      <c r="B115" s="8" t="n"/>
      <c r="C115" s="8" t="inlineStr">
        <is>
          <t>None: None</t>
        </is>
      </c>
      <c r="D115" s="8" t="n"/>
      <c r="E115" s="8" t="inlineStr">
        <is>
          <t>Erasure needs a reason and the plate</t>
        </is>
      </c>
      <c r="F115" s="8" t="inlineStr">
        <is>
          <t>Given an erasure request with identity verified and no policy in force</t>
        </is>
      </c>
      <c r="G115" s="8" t="inlineStr">
        <is>
          <t>When I erase without a reason, or type a different plate
When I give a reason and type the plate</t>
        </is>
      </c>
      <c r="H115" s="8" t="inlineStr">
        <is>
          <t>Then the erasure is refused and nothing changes
Then the customer's personal data is anonymised and the request is "Completed" with the outcome "Erased"
And no request for that customer shows a name any more</t>
        </is>
      </c>
      <c r="I115" s="8" t="inlineStr">
        <is>
          <t>No automated scenario — schedule in UAT.</t>
        </is>
      </c>
      <c r="J115" s="8" t="inlineStr">
        <is>
          <t>Not Run</t>
        </is>
      </c>
      <c r="K115" s="8" t="n"/>
      <c r="L115" s="8" t="n"/>
      <c r="M115" s="8" t="inlineStr">
        <is>
          <t>Manual</t>
        </is>
      </c>
      <c r="N115" s="8" t="n"/>
      <c r="O115" s="8" t="inlineStr"/>
    </row>
    <row r="116">
      <c r="A116" s="8" t="inlineStr">
        <is>
          <t>FTC-112</t>
        </is>
      </c>
      <c r="B116" s="8" t="n"/>
      <c r="C116" s="8" t="inlineStr">
        <is>
          <t>None: None</t>
        </is>
      </c>
      <c r="D116" s="8" t="n"/>
      <c r="E116" s="8" t="inlineStr">
        <is>
          <t>The customer's own download is recorded</t>
        </is>
      </c>
      <c r="F116" s="8" t="inlineStr">
        <is>
          <t>Given a customer downloads their data in the app</t>
        </is>
      </c>
      <c r="G116" s="8" t="inlineStr">
        <is>
          <t>—</t>
        </is>
      </c>
      <c r="H116" s="8" t="inlineStr">
        <is>
          <t>Then the register shows a completed access request on channel "App", logged by the customer</t>
        </is>
      </c>
      <c r="I116" s="8" t="inlineStr">
        <is>
          <t>No automated scenario — schedule in UAT.</t>
        </is>
      </c>
      <c r="J116" s="8" t="inlineStr">
        <is>
          <t>Not Run</t>
        </is>
      </c>
      <c r="K116" s="8" t="n"/>
      <c r="L116" s="8" t="n"/>
      <c r="M116" s="8" t="inlineStr">
        <is>
          <t>Manual</t>
        </is>
      </c>
      <c r="N116" s="8" t="n"/>
      <c r="O116" s="8" t="inlineStr"/>
    </row>
    <row r="117">
      <c r="A117" s="8" t="inlineStr">
        <is>
          <t>FTC-113</t>
        </is>
      </c>
      <c r="B117" s="8" t="n"/>
      <c r="C117" s="8" t="inlineStr">
        <is>
          <t>None: None</t>
        </is>
      </c>
      <c r="D117" s="8" t="n"/>
      <c r="E117" s="8" t="inlineStr">
        <is>
          <t>Only compliance handles data requests</t>
        </is>
      </c>
      <c r="F117" s="8" t="inlineStr">
        <is>
          <t>Given I am signed in with a role other than compliance officer</t>
        </is>
      </c>
      <c r="G117" s="8" t="inlineStr">
        <is>
          <t>When I open the data-request register</t>
        </is>
      </c>
      <c r="H117" s="8" t="inlineStr">
        <is>
          <t>Then access is refused</t>
        </is>
      </c>
      <c r="I117" s="8" t="inlineStr">
        <is>
          <t>No automated scenario — schedule in UAT.</t>
        </is>
      </c>
      <c r="J117" s="8" t="inlineStr">
        <is>
          <t>Not Run</t>
        </is>
      </c>
      <c r="K117" s="8" t="n"/>
      <c r="L117" s="8" t="n"/>
      <c r="M117" s="8" t="inlineStr">
        <is>
          <t>Manual</t>
        </is>
      </c>
      <c r="N117" s="8" t="n"/>
      <c r="O117" s="8" t="inlineStr"/>
    </row>
    <row r="118">
      <c r="A118" s="8" t="inlineStr">
        <is>
          <t>FTC-114</t>
        </is>
      </c>
      <c r="B118" s="8" t="n"/>
      <c r="C118" s="8" t="inlineStr">
        <is>
          <t>None: None</t>
        </is>
      </c>
      <c r="D118" s="8" t="n"/>
      <c r="E118" s="8" t="inlineStr">
        <is>
          <t>Invalid weights rejected</t>
        </is>
      </c>
      <c r="F118" s="8" t="inlineStr">
        <is>
          <t>—</t>
        </is>
      </c>
      <c r="G118" s="8" t="inlineStr">
        <is>
          <t>When I validate a lead scoring draft whose weights total 95</t>
        </is>
      </c>
      <c r="H118" s="8" t="inlineStr">
        <is>
          <t>Then the errors include "factor weights must sum to 100 (got 95)"</t>
        </is>
      </c>
      <c r="I118" s="8" t="inlineStr">
        <is>
          <t>No automated scenario — schedule in UAT.</t>
        </is>
      </c>
      <c r="J118" s="8" t="inlineStr">
        <is>
          <t>Not Run</t>
        </is>
      </c>
      <c r="K118" s="8" t="n"/>
      <c r="L118" s="8" t="n"/>
      <c r="M118" s="8" t="inlineStr">
        <is>
          <t>Manual</t>
        </is>
      </c>
      <c r="N118" s="8" t="n"/>
      <c r="O118" s="8" t="inlineStr"/>
    </row>
    <row r="119">
      <c r="A119" s="8" t="inlineStr">
        <is>
          <t>FTC-115</t>
        </is>
      </c>
      <c r="B119" s="8" t="n"/>
      <c r="C119" s="8" t="inlineStr">
        <is>
          <t>None: None</t>
        </is>
      </c>
      <c r="D119" s="8" t="n"/>
      <c r="E119" s="8" t="inlineStr">
        <is>
          <t>Valid draft</t>
        </is>
      </c>
      <c r="F119" s="8" t="inlineStr">
        <is>
          <t>—</t>
        </is>
      </c>
      <c r="G119" s="8" t="inlineStr">
        <is>
          <t>When I save a valid lead scoring draft</t>
        </is>
      </c>
      <c r="H119" s="8" t="inlineStr">
        <is>
          <t>Then version 2 of lead scoring is created as a draft with a checksum, and audited</t>
        </is>
      </c>
      <c r="I119" s="8" t="inlineStr">
        <is>
          <t>No automated scenario — schedule in UAT.</t>
        </is>
      </c>
      <c r="J119" s="8" t="inlineStr">
        <is>
          <t>Not Run</t>
        </is>
      </c>
      <c r="K119" s="8" t="n"/>
      <c r="L119" s="8" t="n"/>
      <c r="M119" s="8" t="inlineStr">
        <is>
          <t>Manual</t>
        </is>
      </c>
      <c r="N119" s="8" t="n"/>
      <c r="O119" s="8" t="inlineStr"/>
    </row>
    <row r="120">
      <c r="A120" s="8" t="inlineStr">
        <is>
          <t>FTC-116</t>
        </is>
      </c>
      <c r="B120" s="8" t="n"/>
      <c r="C120" s="8" t="inlineStr">
        <is>
          <t>None: None</t>
        </is>
      </c>
      <c r="D120" s="8" t="n"/>
      <c r="E120" s="8" t="inlineStr">
        <is>
          <t>Current vs candidate</t>
        </is>
      </c>
      <c r="F120" s="8" t="inlineStr">
        <is>
          <t>—</t>
        </is>
      </c>
      <c r="G120" s="8" t="inlineStr">
        <is>
          <t>When I simulate a next best action draft for a customer</t>
        </is>
      </c>
      <c r="H120" s="8" t="inlineStr">
        <is>
          <t>Then I see the current and candidate results: journey, score, tier, reasons, next best action and benefits</t>
        </is>
      </c>
      <c r="I120" s="8" t="inlineStr">
        <is>
          <t>No automated scenario — schedule in UAT.</t>
        </is>
      </c>
      <c r="J120" s="8" t="inlineStr">
        <is>
          <t>Not Run</t>
        </is>
      </c>
      <c r="K120" s="8" t="n"/>
      <c r="L120" s="8" t="n"/>
      <c r="M120" s="8" t="inlineStr">
        <is>
          <t>Manual</t>
        </is>
      </c>
      <c r="N120" s="8" t="n"/>
      <c r="O120" s="8" t="inlineStr"/>
    </row>
    <row r="121">
      <c r="A121" s="8" t="inlineStr">
        <is>
          <t>FTC-117</t>
        </is>
      </c>
      <c r="B121" s="8" t="n"/>
      <c r="C121" s="8" t="inlineStr">
        <is>
          <t>None: None</t>
        </is>
      </c>
      <c r="D121" s="8" t="n"/>
      <c r="E121" s="8" t="inlineStr">
        <is>
          <t>Self-approval forbidden</t>
        </is>
      </c>
      <c r="F121" s="8" t="inlineStr">
        <is>
          <t>Given "author" submitted lead scoring version 2</t>
        </is>
      </c>
      <c r="G121" s="8" t="inlineStr">
        <is>
          <t>When "author" tries to approve it</t>
        </is>
      </c>
      <c r="H121" s="8" t="inlineStr">
        <is>
          <t>Then it is refused with "Maker-checker: you cannot approve your own change"</t>
        </is>
      </c>
      <c r="I121" s="8" t="inlineStr">
        <is>
          <t>No automated scenario — schedule in UAT.</t>
        </is>
      </c>
      <c r="J121" s="8" t="inlineStr">
        <is>
          <t>Not Run</t>
        </is>
      </c>
      <c r="K121" s="8" t="n"/>
      <c r="L121" s="8" t="n"/>
      <c r="M121" s="8" t="inlineStr">
        <is>
          <t>Manual</t>
        </is>
      </c>
      <c r="N121" s="8" t="n"/>
      <c r="O121" s="8" t="inlineStr"/>
    </row>
    <row r="122">
      <c r="A122" s="8" t="inlineStr">
        <is>
          <t>FTC-118</t>
        </is>
      </c>
      <c r="B122" s="8" t="n"/>
      <c r="C122" s="8" t="inlineStr">
        <is>
          <t>None: None</t>
        </is>
      </c>
      <c r="D122" s="8" t="n"/>
      <c r="E122" s="8" t="inlineStr">
        <is>
          <t>Approval activates and retires</t>
        </is>
      </c>
      <c r="F122" s="8" t="inlineStr">
        <is>
          <t>—</t>
        </is>
      </c>
      <c r="G122" s="8" t="inlineStr">
        <is>
          <t>When "approver" approves it with the comment "OK per campaign review"</t>
        </is>
      </c>
      <c r="H122" s="8" t="inlineStr">
        <is>
          <t>Then version 2 is active and version 1 is retired, superseded by version 2
And all servers use version 2 within 15 seconds</t>
        </is>
      </c>
      <c r="I122" s="8" t="inlineStr">
        <is>
          <t>No automated scenario — schedule in UAT.</t>
        </is>
      </c>
      <c r="J122" s="8" t="inlineStr">
        <is>
          <t>Not Run</t>
        </is>
      </c>
      <c r="K122" s="8" t="n"/>
      <c r="L122" s="8" t="n"/>
      <c r="M122" s="8" t="inlineStr">
        <is>
          <t>Manual</t>
        </is>
      </c>
      <c r="N122" s="8" t="n"/>
      <c r="O122" s="8" t="inlineStr"/>
    </row>
    <row r="123">
      <c r="A123" s="8" t="inlineStr">
        <is>
          <t>FTC-119</t>
        </is>
      </c>
      <c r="B123" s="8" t="n"/>
      <c r="C123" s="8" t="inlineStr">
        <is>
          <t>None: None</t>
        </is>
      </c>
      <c r="D123" s="8" t="n"/>
      <c r="E123" s="8" t="inlineStr">
        <is>
          <t>Rollback is a governed change</t>
        </is>
      </c>
      <c r="F123" s="8" t="inlineStr">
        <is>
          <t>—</t>
        </is>
      </c>
      <c r="G123" s="8" t="inlineStr">
        <is>
          <t>When I roll lead scoring back to version 1</t>
        </is>
      </c>
      <c r="H123" s="8" t="inlineStr">
        <is>
          <t>Then a new draft, version 3, with the content of version 1 is created
And it needs submission and approval by another user</t>
        </is>
      </c>
      <c r="I123" s="8" t="inlineStr">
        <is>
          <t>No automated scenario — schedule in UAT.</t>
        </is>
      </c>
      <c r="J123" s="8" t="inlineStr">
        <is>
          <t>Not Run</t>
        </is>
      </c>
      <c r="K123" s="8" t="n"/>
      <c r="L123" s="8" t="n"/>
      <c r="M123" s="8" t="inlineStr">
        <is>
          <t>Manual</t>
        </is>
      </c>
      <c r="N123" s="8" t="n"/>
      <c r="O123" s="8" t="inlineStr"/>
    </row>
    <row r="124">
      <c r="A124" s="8" t="inlineStr">
        <is>
          <t>FTC-120</t>
        </is>
      </c>
      <c r="B124" s="8" t="n"/>
      <c r="C124" s="8" t="inlineStr">
        <is>
          <t>None: None</t>
        </is>
      </c>
      <c r="D124" s="8" t="n"/>
      <c r="E124" s="8" t="inlineStr">
        <is>
          <t>Banned phrase in template</t>
        </is>
      </c>
      <c r="F124" s="8" t="inlineStr">
        <is>
          <t>—</t>
        </is>
      </c>
      <c r="G124" s="8" t="inlineStr">
        <is>
          <t>When I create a message content draft containing "Giảm giá 10% khi gia hạn"</t>
        </is>
      </c>
      <c r="H124" s="8" t="inlineStr">
        <is>
          <t>Then the draft is rejected with a copy-guard error naming "giảm giá"</t>
        </is>
      </c>
      <c r="I124" s="8" t="inlineStr">
        <is>
          <t>No automated scenario — schedule in UAT.</t>
        </is>
      </c>
      <c r="J124" s="8" t="inlineStr">
        <is>
          <t>Not Run</t>
        </is>
      </c>
      <c r="K124" s="8" t="n"/>
      <c r="L124" s="8" t="n"/>
      <c r="M124" s="8" t="inlineStr">
        <is>
          <t>Manual</t>
        </is>
      </c>
      <c r="N124" s="8" t="n"/>
      <c r="O124" s="8" t="inlineStr"/>
    </row>
    <row r="125">
      <c r="A125" s="8" t="inlineStr">
        <is>
          <t>FTC-121</t>
        </is>
      </c>
      <c r="B125" s="8" t="n"/>
      <c r="C125" s="8" t="inlineStr">
        <is>
          <t>None: None</t>
        </is>
      </c>
      <c r="D125" s="8" t="n"/>
      <c r="E125" s="8" t="inlineStr">
        <is>
          <t>Cap</t>
        </is>
      </c>
      <c r="F125" s="8" t="inlineStr">
        <is>
          <t>—</t>
        </is>
      </c>
      <c r="G125" s="8" t="inlineStr">
        <is>
          <t>When a commission draft sets personal accident cover at 25% against a cap of 20%</t>
        </is>
      </c>
      <c r="H125" s="8" t="inlineStr">
        <is>
          <t>Then validation fails</t>
        </is>
      </c>
      <c r="I125" s="8" t="inlineStr">
        <is>
          <t>No automated scenario — schedule in UAT.</t>
        </is>
      </c>
      <c r="J125" s="8" t="inlineStr">
        <is>
          <t>Not Run</t>
        </is>
      </c>
      <c r="K125" s="8" t="n"/>
      <c r="L125" s="8" t="n"/>
      <c r="M125" s="8" t="inlineStr">
        <is>
          <t>Manual</t>
        </is>
      </c>
      <c r="N125" s="8" t="n"/>
      <c r="O125" s="8" t="inlineStr"/>
    </row>
    <row r="126">
      <c r="A126" s="8" t="inlineStr">
        <is>
          <t>FTC-122</t>
        </is>
      </c>
      <c r="B126" s="8" t="n"/>
      <c r="C126" s="8" t="inlineStr">
        <is>
          <t>None: None</t>
        </is>
      </c>
      <c r="D126" s="8" t="n"/>
      <c r="E126" s="8" t="inlineStr">
        <is>
          <t>Two-step login</t>
        </is>
      </c>
      <c r="F126" s="8" t="inlineStr">
        <is>
          <t>—</t>
        </is>
      </c>
      <c r="G126" s="8" t="inlineStr">
        <is>
          <t>When I sign in with the correct username and password
When I enter a valid authenticator code</t>
        </is>
      </c>
      <c r="H126" s="8" t="inlineStr">
        <is>
          <t>Then I am asked for a code, with 5 minutes to enter it
Then I receive a 30-minute session that records both password and code</t>
        </is>
      </c>
      <c r="I126" s="8" t="inlineStr">
        <is>
          <t>No automated scenario — schedule in UAT.</t>
        </is>
      </c>
      <c r="J126" s="8" t="inlineStr">
        <is>
          <t>Not Run</t>
        </is>
      </c>
      <c r="K126" s="8" t="n"/>
      <c r="L126" s="8" t="n"/>
      <c r="M126" s="8" t="inlineStr">
        <is>
          <t>Manual</t>
        </is>
      </c>
      <c r="N126" s="8" t="n"/>
      <c r="O126" s="8" t="inlineStr"/>
    </row>
    <row r="127">
      <c r="A127" s="8" t="inlineStr">
        <is>
          <t>FTC-123</t>
        </is>
      </c>
      <c r="B127" s="8" t="n"/>
      <c r="C127" s="8" t="inlineStr">
        <is>
          <t>None: None</t>
        </is>
      </c>
      <c r="D127" s="8" t="n"/>
      <c r="E127" s="8" t="inlineStr">
        <is>
          <t>Privileged role without MFA enrolment</t>
        </is>
      </c>
      <c r="F127" s="8" t="inlineStr">
        <is>
          <t>Given a new data steward account that has not enrolled</t>
        </is>
      </c>
      <c r="G127" s="8" t="inlineStr">
        <is>
          <t>When I sign in with the correct username and password</t>
        </is>
      </c>
      <c r="H127" s="8" t="inlineStr">
        <is>
          <t>Then I am shown an enrolment QR code, visible only to me
And my first valid code completes enrolment; codes cannot be reused</t>
        </is>
      </c>
      <c r="I127" s="8" t="inlineStr">
        <is>
          <t>No automated scenario — schedule in UAT.</t>
        </is>
      </c>
      <c r="J127" s="8" t="inlineStr">
        <is>
          <t>Not Run</t>
        </is>
      </c>
      <c r="K127" s="8" t="n"/>
      <c r="L127" s="8" t="n"/>
      <c r="M127" s="8" t="inlineStr">
        <is>
          <t>Manual</t>
        </is>
      </c>
      <c r="N127" s="8" t="n"/>
      <c r="O127" s="8" t="inlineStr"/>
    </row>
    <row r="128">
      <c r="A128" s="8" t="inlineStr">
        <is>
          <t>FTC-124</t>
        </is>
      </c>
      <c r="B128" s="8" t="n"/>
      <c r="C128" s="8" t="inlineStr">
        <is>
          <t>None: None</t>
        </is>
      </c>
      <c r="D128" s="8" t="n"/>
      <c r="E128" s="8" t="inlineStr">
        <is>
          <t>Lockout</t>
        </is>
      </c>
      <c r="F128" s="8" t="inlineStr">
        <is>
          <t>—</t>
        </is>
      </c>
      <c r="G128" s="8" t="inlineStr">
        <is>
          <t>When 5 wrong passwords are entered for "agent.hn"</t>
        </is>
      </c>
      <c r="H128" s="8" t="inlineStr">
        <is>
          <t>Then the 6th attempt within 15 minutes is refused as locked (HTTP 423), even with the right password
And wrong authenticator codes count towards the same lockout
And each failure is audited</t>
        </is>
      </c>
      <c r="I128" s="8" t="inlineStr">
        <is>
          <t>No automated scenario — schedule in UAT.</t>
        </is>
      </c>
      <c r="J128" s="8" t="inlineStr">
        <is>
          <t>Not Run</t>
        </is>
      </c>
      <c r="K128" s="8" t="n"/>
      <c r="L128" s="8" t="n"/>
      <c r="M128" s="8" t="inlineStr">
        <is>
          <t>Manual</t>
        </is>
      </c>
      <c r="N128" s="8" t="n"/>
      <c r="O128" s="8" t="inlineStr"/>
    </row>
    <row r="129">
      <c r="A129" s="8" t="inlineStr">
        <is>
          <t>FTC-125</t>
        </is>
      </c>
      <c r="B129" s="8" t="n"/>
      <c r="C129" s="8" t="inlineStr">
        <is>
          <t>None: None</t>
        </is>
      </c>
      <c r="D129" s="8" t="n"/>
      <c r="E129" s="8" t="inlineStr">
        <is>
          <t>Create agent</t>
        </is>
      </c>
      <c r="F129" s="8" t="inlineStr">
        <is>
          <t>—</t>
        </is>
      </c>
      <c r="G129" s="8" t="inlineStr">
        <is>
          <t>When I create user "agent.dn", role telesales agent, region "Đà Nẵng", with a 14-character password</t>
        </is>
      </c>
      <c r="H129" s="8" t="inlineStr">
        <is>
          <t>Then the user exists and the creation is audited
And the user must change the password at first sign-in</t>
        </is>
      </c>
      <c r="I129" s="8" t="inlineStr">
        <is>
          <t>No automated scenario — schedule in UAT.</t>
        </is>
      </c>
      <c r="J129" s="8" t="inlineStr">
        <is>
          <t>Not Run</t>
        </is>
      </c>
      <c r="K129" s="8" t="n"/>
      <c r="L129" s="8" t="n"/>
      <c r="M129" s="8" t="inlineStr">
        <is>
          <t>Manual</t>
        </is>
      </c>
      <c r="N129" s="8" t="n"/>
      <c r="O129" s="8" t="inlineStr"/>
    </row>
    <row r="130">
      <c r="A130" s="8" t="inlineStr">
        <is>
          <t>FTC-126</t>
        </is>
      </c>
      <c r="B130" s="8" t="n"/>
      <c r="C130" s="8" t="inlineStr">
        <is>
          <t>None: None</t>
        </is>
      </c>
      <c r="D130" s="8" t="n"/>
      <c r="E130" s="8" t="inlineStr">
        <is>
          <t>Weak password</t>
        </is>
      </c>
      <c r="F130" s="8" t="inlineStr">
        <is>
          <t>—</t>
        </is>
      </c>
      <c r="G130" s="8" t="inlineStr">
        <is>
          <t>When the password has fewer than 12 characters</t>
        </is>
      </c>
      <c r="H130" s="8" t="inlineStr">
        <is>
          <t>Then it is refused with "at least 12 characters"</t>
        </is>
      </c>
      <c r="I130" s="8" t="inlineStr">
        <is>
          <t>No automated scenario — schedule in UAT.</t>
        </is>
      </c>
      <c r="J130" s="8" t="inlineStr">
        <is>
          <t>Not Run</t>
        </is>
      </c>
      <c r="K130" s="8" t="n"/>
      <c r="L130" s="8" t="n"/>
      <c r="M130" s="8" t="inlineStr">
        <is>
          <t>Manual</t>
        </is>
      </c>
      <c r="N130" s="8" t="n"/>
      <c r="O130" s="8" t="inlineStr"/>
    </row>
    <row r="131">
      <c r="A131" s="8" t="inlineStr">
        <is>
          <t>FTC-127</t>
        </is>
      </c>
      <c r="B131" s="8" t="n"/>
      <c r="C131" s="8" t="inlineStr">
        <is>
          <t>None: None</t>
        </is>
      </c>
      <c r="D131" s="8" t="n"/>
      <c r="E131" s="8" t="inlineStr">
        <is>
          <t>Admin cannot read PII or approve rules</t>
        </is>
      </c>
      <c r="F131" s="8" t="inlineStr">
        <is>
          <t>Given I am the admin</t>
        </is>
      </c>
      <c r="G131" s="8" t="inlineStr">
        <is>
          <t>When I open a customer or try to approve a rule</t>
        </is>
      </c>
      <c r="H131" s="8" t="inlineStr">
        <is>
          <t>Then access is refused</t>
        </is>
      </c>
      <c r="I131" s="8" t="inlineStr">
        <is>
          <t>No automated scenario — schedule in UAT.</t>
        </is>
      </c>
      <c r="J131" s="8" t="inlineStr">
        <is>
          <t>Not Run</t>
        </is>
      </c>
      <c r="K131" s="8" t="n"/>
      <c r="L131" s="8" t="n"/>
      <c r="M131" s="8" t="inlineStr">
        <is>
          <t>Manual</t>
        </is>
      </c>
      <c r="N131" s="8" t="n"/>
      <c r="O131" s="8" t="inlineStr"/>
    </row>
    <row r="132">
      <c r="A132" s="8" t="inlineStr">
        <is>
          <t>FTC-128</t>
        </is>
      </c>
      <c r="B132" s="8" t="n"/>
      <c r="C132" s="8" t="inlineStr">
        <is>
          <t>None: None</t>
        </is>
      </c>
      <c r="D132" s="8" t="n"/>
      <c r="E132" s="8" t="inlineStr">
        <is>
          <t>Verify</t>
        </is>
      </c>
      <c r="F132" s="8" t="inlineStr">
        <is>
          <t>—</t>
        </is>
      </c>
      <c r="G132" s="8" t="inlineStr">
        <is>
          <t>When I verify the audit trail</t>
        </is>
      </c>
      <c r="H132" s="8" t="inlineStr">
        <is>
          <t>Then the result is "intact" with the number of entries and the latest hash</t>
        </is>
      </c>
      <c r="I132" s="8" t="inlineStr">
        <is>
          <t>No automated scenario — schedule in UAT.</t>
        </is>
      </c>
      <c r="J132" s="8" t="inlineStr">
        <is>
          <t>Not Run</t>
        </is>
      </c>
      <c r="K132" s="8" t="n"/>
      <c r="L132" s="8" t="n"/>
      <c r="M132" s="8" t="inlineStr">
        <is>
          <t>Manual</t>
        </is>
      </c>
      <c r="N132" s="8" t="n"/>
      <c r="O132" s="8" t="inlineStr"/>
    </row>
    <row r="133">
      <c r="A133" s="8" t="inlineStr">
        <is>
          <t>FTC-129</t>
        </is>
      </c>
      <c r="B133" s="8" t="n"/>
      <c r="C133" s="8" t="inlineStr">
        <is>
          <t>None: None</t>
        </is>
      </c>
      <c r="D133" s="8" t="n"/>
      <c r="E133" s="8" t="inlineStr">
        <is>
          <t>Tampering detected</t>
        </is>
      </c>
      <c r="F133" s="8" t="inlineStr">
        <is>
          <t>Given the details of one audit entry were altered in the database</t>
        </is>
      </c>
      <c r="G133" s="8" t="inlineStr">
        <is>
          <t>—</t>
        </is>
      </c>
      <c r="H133" s="8" t="inlineStr">
        <is>
          <t>Then verification reports "broken" at that entry with reason "hash mismatch"</t>
        </is>
      </c>
      <c r="I133" s="8" t="inlineStr">
        <is>
          <t>No automated scenario — schedule in UAT.</t>
        </is>
      </c>
      <c r="J133" s="8" t="inlineStr">
        <is>
          <t>Not Run</t>
        </is>
      </c>
      <c r="K133" s="8" t="n"/>
      <c r="L133" s="8" t="n"/>
      <c r="M133" s="8" t="inlineStr">
        <is>
          <t>Manual</t>
        </is>
      </c>
      <c r="N133" s="8" t="n"/>
      <c r="O133" s="8" t="inlineStr"/>
    </row>
    <row r="134">
      <c r="A134" s="8" t="inlineStr">
        <is>
          <t>FTC-130</t>
        </is>
      </c>
      <c r="B134" s="8" t="n"/>
      <c r="C134" s="8" t="inlineStr">
        <is>
          <t>None: None</t>
        </is>
      </c>
      <c r="D134" s="8" t="n"/>
      <c r="E134" s="8" t="inlineStr">
        <is>
          <t>Overview</t>
        </is>
      </c>
      <c r="F134" s="8" t="inlineStr">
        <is>
          <t>—</t>
        </is>
      </c>
      <c r="G134" s="8" t="inlineStr">
        <is>
          <t>When I open the dashboard</t>
        </is>
      </c>
      <c r="H134" s="8" t="inlineStr">
        <is>
          <t>Then I see base size, vehicles expiring in 30 days, lapsed (up to 60 days), orders and premium by journey and channel, and active policies by product
And the economics: assistant cost = calls × VND 1,500 × 1.6, telesales-equivalent cost = calls × VND 6,000 × 4.5, and the saving</t>
        </is>
      </c>
      <c r="I134" s="8" t="inlineStr">
        <is>
          <t>No automated scenario — schedule in UAT.</t>
        </is>
      </c>
      <c r="J134" s="8" t="inlineStr">
        <is>
          <t>Not Run</t>
        </is>
      </c>
      <c r="K134" s="8" t="n"/>
      <c r="L134" s="8" t="n"/>
      <c r="M134" s="8" t="inlineStr">
        <is>
          <t>Manual</t>
        </is>
      </c>
      <c r="N134" s="8" t="n"/>
      <c r="O134" s="8" t="inlineStr"/>
    </row>
    <row r="135">
      <c r="A135" s="8" t="inlineStr">
        <is>
          <t>FTC-131</t>
        </is>
      </c>
      <c r="B135" s="8" t="n"/>
      <c r="C135" s="8" t="inlineStr">
        <is>
          <t>None: None</t>
        </is>
      </c>
      <c r="D135" s="8" t="n"/>
      <c r="E135" s="8" t="inlineStr">
        <is>
          <t>Status</t>
        </is>
      </c>
      <c r="F135" s="8" t="inlineStr">
        <is>
          <t>—</t>
        </is>
      </c>
      <c r="G135" s="8" t="inlineStr">
        <is>
          <t>When I open Operations</t>
        </is>
      </c>
      <c r="H135" s="8" t="inlineStr">
        <is>
          <t>Then I see the circuit state of the VETC wallet, TASCO core, voice AI, app push, Zalo ZNS and SMS, the active rule versions with checksums and the event backlog</t>
        </is>
      </c>
      <c r="I135" s="8" t="inlineStr">
        <is>
          <t>No automated scenario — schedule in UAT.</t>
        </is>
      </c>
      <c r="J135" s="8" t="inlineStr">
        <is>
          <t>Not Run</t>
        </is>
      </c>
      <c r="K135" s="8" t="n"/>
      <c r="L135" s="8" t="n"/>
      <c r="M135" s="8" t="inlineStr">
        <is>
          <t>Manual</t>
        </is>
      </c>
      <c r="N135" s="8" t="n"/>
      <c r="O135" s="8" t="inlineStr"/>
    </row>
    <row r="136">
      <c r="A136" s="8" t="inlineStr">
        <is>
          <t>FTC-132</t>
        </is>
      </c>
      <c r="B136" s="8" t="n"/>
      <c r="C136" s="8" t="inlineStr">
        <is>
          <t>None: None</t>
        </is>
      </c>
      <c r="D136" s="8" t="n"/>
      <c r="E136" s="8" t="inlineStr">
        <is>
          <t>Reconciliation</t>
        </is>
      </c>
      <c r="F136" s="8" t="inlineStr">
        <is>
          <t>—</t>
        </is>
      </c>
      <c r="G136" s="8" t="inlineStr">
        <is>
          <t>When I run reconciliation</t>
        </is>
      </c>
      <c r="H136" s="8" t="inlineStr">
        <is>
          <t>Then a job run is recorded with the number checked and any mismatches (missing payment reference, missing policy, stuck for more than 1 hour)</t>
        </is>
      </c>
      <c r="I136" s="8" t="inlineStr">
        <is>
          <t>No automated scenario — schedule in UAT.</t>
        </is>
      </c>
      <c r="J136" s="8" t="inlineStr">
        <is>
          <t>Not Run</t>
        </is>
      </c>
      <c r="K136" s="8" t="n"/>
      <c r="L136" s="8" t="n"/>
      <c r="M136" s="8" t="inlineStr">
        <is>
          <t>Manual</t>
        </is>
      </c>
      <c r="N136" s="8" t="n"/>
      <c r="O136" s="8" t="inlineStr"/>
    </row>
    <row r="137">
      <c r="A137" s="8" t="inlineStr">
        <is>
          <t>FTC-133</t>
        </is>
      </c>
      <c r="B137" s="8" t="n"/>
      <c r="C137" s="8" t="inlineStr">
        <is>
          <t>None: None</t>
        </is>
      </c>
      <c r="D137" s="8" t="n"/>
      <c r="E137" s="8" t="inlineStr">
        <is>
          <t>Retention job</t>
        </is>
      </c>
      <c r="F137" s="8" t="inlineStr">
        <is>
          <t>—</t>
        </is>
      </c>
      <c r="G137" s="8" t="inlineStr">
        <is>
          <t>When the retention job runs</t>
        </is>
      </c>
      <c r="H137" s="8" t="inlineStr">
        <is>
          <t>Then source records older than 365 days and assistant sessions older than 180 days are deleted
And the result lists the action and cut-off date for each data type</t>
        </is>
      </c>
      <c r="I137" s="8" t="inlineStr">
        <is>
          <t>No automated scenario — schedule in UAT.</t>
        </is>
      </c>
      <c r="J137" s="8" t="inlineStr">
        <is>
          <t>Not Run</t>
        </is>
      </c>
      <c r="K137" s="8" t="n"/>
      <c r="L137" s="8" t="n"/>
      <c r="M137" s="8" t="inlineStr">
        <is>
          <t>Manual</t>
        </is>
      </c>
      <c r="N137" s="8" t="n"/>
      <c r="O137" s="8" t="inlineStr"/>
    </row>
    <row r="138">
      <c r="A138" s="8" t="inlineStr">
        <is>
          <t>FTC-134</t>
        </is>
      </c>
      <c r="B138" s="8" t="n"/>
      <c r="C138" s="8" t="inlineStr">
        <is>
          <t>None: None</t>
        </is>
      </c>
      <c r="D138" s="8" t="n"/>
      <c r="E138" s="8" t="inlineStr">
        <is>
          <t>Language toggle</t>
        </is>
      </c>
      <c r="F138" s="8" t="inlineStr">
        <is>
          <t>—</t>
        </is>
      </c>
      <c r="G138" s="8" t="inlineStr">
        <is>
          <t>When I switch to Vietnamese</t>
        </is>
      </c>
      <c r="H138" s="8" t="inlineStr">
        <is>
          <t>Then all labels, help text and dates (dd/mm/yyyy) appear in Vietnamese without reloading
And my choice is remembered on this device</t>
        </is>
      </c>
      <c r="I138" s="8" t="inlineStr">
        <is>
          <t>No automated scenario — schedule in UAT.</t>
        </is>
      </c>
      <c r="J138" s="8" t="inlineStr">
        <is>
          <t>Not Run</t>
        </is>
      </c>
      <c r="K138" s="8" t="n"/>
      <c r="L138" s="8" t="n"/>
      <c r="M138" s="8" t="inlineStr">
        <is>
          <t>Manual</t>
        </is>
      </c>
      <c r="N138" s="8" t="n"/>
      <c r="O138" s="8" t="inlineStr"/>
    </row>
    <row r="139">
      <c r="A139" s="8" t="inlineStr">
        <is>
          <t>FTC-135</t>
        </is>
      </c>
      <c r="B139" s="8" t="n"/>
      <c r="C139" s="8" t="inlineStr">
        <is>
          <t>None: None</t>
        </is>
      </c>
      <c r="D139" s="8" t="n"/>
      <c r="E139" s="8" t="inlineStr">
        <is>
          <t>Scan</t>
        </is>
      </c>
      <c r="F139" s="8" t="inlineStr">
        <is>
          <t>—</t>
        </is>
      </c>
      <c r="G139" s="8" t="inlineStr">
        <is>
          <t>When I scan the QR on the e-certificate</t>
        </is>
      </c>
      <c r="H139" s="8" t="inlineStr">
        <is>
          <t>Then the verification page shows valid or not valid, the product, masked plate, insurer and validity dates, in Vietnamese by default
And it works on a basic mobile browser without signing in</t>
        </is>
      </c>
      <c r="I139" s="8" t="inlineStr">
        <is>
          <t>No automated scenario — schedule in UAT.</t>
        </is>
      </c>
      <c r="J139" s="8" t="inlineStr">
        <is>
          <t>Not Run</t>
        </is>
      </c>
      <c r="K139" s="8" t="n"/>
      <c r="L139" s="8" t="n"/>
      <c r="M139" s="8" t="inlineStr">
        <is>
          <t>Manual</t>
        </is>
      </c>
      <c r="N139" s="8" t="n"/>
      <c r="O139" s="8" t="inlineStr"/>
    </row>
  </sheetData>
  <autoFilter ref="A4:O139"/>
  <conditionalFormatting sqref="J5:J13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dataValidations count="1">
    <dataValidation sqref="J5:J139" showDropDown="0" showInputMessage="0" showErrorMessage="0" allowBlank="0"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1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34" customWidth="1" min="3" max="3"/>
    <col width="30" customWidth="1" min="4" max="4"/>
    <col width="40" customWidth="1" min="5" max="5"/>
    <col width="42" customWidth="1" min="6" max="6"/>
    <col width="42" customWidth="1" min="7" max="7"/>
    <col width="10" customWidth="1" min="8" max="8"/>
    <col width="9" customWidth="1" min="9" max="9"/>
    <col width="7" customWidth="1" min="10" max="10"/>
    <col width="26" customWidth="1" min="11" max="11"/>
    <col width="11" customWidth="1" min="12" max="12"/>
    <col width="11" customWidth="1" min="13" max="13"/>
    <col width="13" customWidth="1" min="14" max="14"/>
    <col width="16" customWidth="1" min="15" max="15"/>
  </cols>
  <sheetData>
    <row r="1">
      <c r="A1" s="1" t="inlineStr">
        <is>
          <t>TASCO Growth Platform — Test Cases, Conditions &amp; Results</t>
        </is>
      </c>
    </row>
    <row r="2">
      <c r="A2" s="2" t="inlineStr">
        <is>
          <t>Execution run: 2026-10-08 · Build: branch claude/funny-cori-med8ed · Environment: CI-equivalent (Node 22, PostgreSQL 16, in-memory store for unit/API). Status legend in the "Read Me" sheet.</t>
        </is>
      </c>
    </row>
    <row r="4">
      <c r="A4" s="3" t="inlineStr">
        <is>
          <t>Test Case ID</t>
        </is>
      </c>
      <c r="B4" s="3" t="inlineStr">
        <is>
          <t>Module</t>
        </is>
      </c>
      <c r="C4" s="3" t="inlineStr">
        <is>
          <t>Test Scenario</t>
        </is>
      </c>
      <c r="D4" s="3" t="inlineStr">
        <is>
          <t>Pre-conditions / Test Conditions</t>
        </is>
      </c>
      <c r="E4" s="3" t="inlineStr">
        <is>
          <t>Test Steps / Test Data</t>
        </is>
      </c>
      <c r="F4" s="3" t="inlineStr">
        <is>
          <t>Expected Result</t>
        </is>
      </c>
      <c r="G4" s="3" t="inlineStr">
        <is>
          <t>Actual Result</t>
        </is>
      </c>
      <c r="H4" s="3" t="inlineStr">
        <is>
          <t>Status</t>
        </is>
      </c>
      <c r="I4" s="3" t="inlineStr">
        <is>
          <t>Test Type</t>
        </is>
      </c>
      <c r="J4" s="3" t="inlineStr">
        <is>
          <t>Priority</t>
        </is>
      </c>
      <c r="K4" s="3" t="inlineStr">
        <is>
          <t>Automation / Evidence</t>
        </is>
      </c>
      <c r="L4" s="3" t="inlineStr">
        <is>
          <t>Known Issue Ref</t>
        </is>
      </c>
      <c r="M4" s="3" t="inlineStr">
        <is>
          <t>Executed On</t>
        </is>
      </c>
      <c r="N4" s="3" t="inlineStr">
        <is>
          <t>Executed By</t>
        </is>
      </c>
      <c r="O4" s="3" t="inlineStr">
        <is>
          <t>Environment</t>
        </is>
      </c>
    </row>
    <row r="5">
      <c r="A5" s="8" t="inlineStr">
        <is>
          <t>TC-001</t>
        </is>
      </c>
      <c r="B5" s="8" t="inlineStr">
        <is>
          <t>Authentication and session</t>
        </is>
      </c>
      <c r="C5" s="8" t="inlineStr">
        <is>
          <t>Password sign-in without MFA</t>
        </is>
      </c>
      <c r="D5" s="8" t="inlineStr">
        <is>
          <t>User exec. POST /api/auth/login with the demo password</t>
        </is>
      </c>
      <c r="E5" s="8" t="inlineStr"/>
      <c r="F5" s="8" t="inlineStr">
        <is>
          <t>200 with accessToken, expiresIn 1800 and dashboard:read in permissions. Audit auth.login</t>
        </is>
      </c>
      <c r="G5" s="8" t="inlineStr">
        <is>
          <t>As expected. Evidence: test/api/api.test.js (12/12 passed); test/api/consoleWorkflows.test.js (7/7 passed); test/api/salesConsole.test.js (4/4 passed)</t>
        </is>
      </c>
      <c r="H5" s="8" t="inlineStr">
        <is>
          <t>Pass</t>
        </is>
      </c>
      <c r="I5" s="8" t="inlineStr">
        <is>
          <t>API</t>
        </is>
      </c>
      <c r="J5" s="8" t="inlineStr">
        <is>
          <t>P1</t>
        </is>
      </c>
      <c r="K5" s="8" t="inlineStr">
        <is>
          <t>api</t>
        </is>
      </c>
      <c r="L5" s="8" t="inlineStr">
        <is>
          <t>—</t>
        </is>
      </c>
      <c r="M5" s="8" t="inlineStr">
        <is>
          <t>2026-10-08</t>
        </is>
      </c>
      <c r="N5" s="8" t="inlineStr">
        <is>
          <t>Automated (CI)</t>
        </is>
      </c>
      <c r="O5" s="8" t="inlineStr">
        <is>
          <t>CI (Node 22 / PostgreSQL 16)</t>
        </is>
      </c>
    </row>
    <row r="6">
      <c r="A6" s="8" t="inlineStr">
        <is>
          <t>TC-002</t>
        </is>
      </c>
      <c r="B6" s="8" t="inlineStr">
        <is>
          <t>Authentication and session</t>
        </is>
      </c>
      <c r="C6" s="8" t="inlineStr">
        <is>
          <t>MFA challenge for a privileged role</t>
        </is>
      </c>
      <c r="D6" s="8" t="inlineStr">
        <is>
          <t>User admin (TOTP enrolled). Sign in with the correct password</t>
        </is>
      </c>
      <c r="E6" s="8" t="inlineStr"/>
      <c r="F6" s="8" t="inlineStr">
        <is>
          <t>200 {mfaRequired:true, mfaToken}. No access token</t>
        </is>
      </c>
      <c r="G6" s="8" t="inlineStr">
        <is>
          <t>As expected. Evidence: test/api/api.test.js (12/12 passed); test/api/consoleWorkflows.test.js (7/7 passed); test/api/salesConsole.test.js (4/4 passed)</t>
        </is>
      </c>
      <c r="H6" s="8" t="inlineStr">
        <is>
          <t>Pass</t>
        </is>
      </c>
      <c r="I6" s="8" t="inlineStr">
        <is>
          <t>API</t>
        </is>
      </c>
      <c r="J6" s="8" t="inlineStr">
        <is>
          <t>P1</t>
        </is>
      </c>
      <c r="K6" s="8" t="inlineStr">
        <is>
          <t>api</t>
        </is>
      </c>
      <c r="L6" s="8" t="inlineStr">
        <is>
          <t>—</t>
        </is>
      </c>
      <c r="M6" s="8" t="inlineStr">
        <is>
          <t>2026-10-08</t>
        </is>
      </c>
      <c r="N6" s="8" t="inlineStr">
        <is>
          <t>Automated (CI)</t>
        </is>
      </c>
      <c r="O6" s="8" t="inlineStr">
        <is>
          <t>CI (Node 22 / PostgreSQL 16)</t>
        </is>
      </c>
    </row>
    <row r="7">
      <c r="A7" s="8" t="inlineStr">
        <is>
          <t>TC-003</t>
        </is>
      </c>
      <c r="B7" s="8" t="inlineStr">
        <is>
          <t>Authentication and session</t>
        </is>
      </c>
      <c r="C7" s="8" t="inlineStr">
        <is>
          <t>MFA completed with a valid code</t>
        </is>
      </c>
      <c r="D7" s="8" t="inlineStr">
        <is>
          <t>After TC-002. POST /api/auth/mfa with a valid TOTP</t>
        </is>
      </c>
      <c r="E7" s="8" t="inlineStr"/>
      <c r="F7" s="8" t="inlineStr">
        <is>
          <t>200. Token has amr pwd and otp, audience staff. Failure counter reset to 0</t>
        </is>
      </c>
      <c r="G7" s="8" t="inlineStr">
        <is>
          <t>As expected. Evidence: test/api/api.test.js (12/12 passed); test/api/consoleWorkflows.test.js (7/7 passed); test/api/salesConsole.test.js (4/4 passed)</t>
        </is>
      </c>
      <c r="H7" s="8" t="inlineStr">
        <is>
          <t>Pass</t>
        </is>
      </c>
      <c r="I7" s="8" t="inlineStr">
        <is>
          <t>API</t>
        </is>
      </c>
      <c r="J7" s="8" t="inlineStr">
        <is>
          <t>P1</t>
        </is>
      </c>
      <c r="K7" s="8" t="inlineStr">
        <is>
          <t>api</t>
        </is>
      </c>
      <c r="L7" s="8" t="inlineStr">
        <is>
          <t>—</t>
        </is>
      </c>
      <c r="M7" s="8" t="inlineStr">
        <is>
          <t>2026-10-08</t>
        </is>
      </c>
      <c r="N7" s="8" t="inlineStr">
        <is>
          <t>Automated (CI)</t>
        </is>
      </c>
      <c r="O7" s="8" t="inlineStr">
        <is>
          <t>CI (Node 22 / PostgreSQL 16)</t>
        </is>
      </c>
    </row>
    <row r="8">
      <c r="A8" s="8" t="inlineStr">
        <is>
          <t>TC-004</t>
        </is>
      </c>
      <c r="B8" s="8" t="inlineStr">
        <is>
          <t>Authentication and session</t>
        </is>
      </c>
      <c r="C8" s="8" t="inlineStr">
        <is>
          <t>Wrong password gives no detail</t>
        </is>
      </c>
      <c r="D8" s="8" t="inlineStr">
        <is>
          <t>User exec. Sign in with a wrong password</t>
        </is>
      </c>
      <c r="E8" s="8" t="inlineStr"/>
      <c r="F8" s="8" t="inlineStr">
        <is>
          <t>401 UNAUTHENTICATED "Invalid username or password". Audit auth.login_failed, reason bad_password</t>
        </is>
      </c>
      <c r="G8" s="8" t="inlineStr">
        <is>
          <t>As expected. Evidence: test/api/api.test.js (12/12 passed); test/api/consoleWorkflows.test.js (7/7 passed); test/api/salesConsole.test.js (4/4 passed)</t>
        </is>
      </c>
      <c r="H8" s="8" t="inlineStr">
        <is>
          <t>Pass</t>
        </is>
      </c>
      <c r="I8" s="8" t="inlineStr">
        <is>
          <t>API</t>
        </is>
      </c>
      <c r="J8" s="8" t="inlineStr">
        <is>
          <t>P1</t>
        </is>
      </c>
      <c r="K8" s="8" t="inlineStr">
        <is>
          <t>api</t>
        </is>
      </c>
      <c r="L8" s="8" t="inlineStr">
        <is>
          <t>—</t>
        </is>
      </c>
      <c r="M8" s="8" t="inlineStr">
        <is>
          <t>2026-10-08</t>
        </is>
      </c>
      <c r="N8" s="8" t="inlineStr">
        <is>
          <t>Automated (CI)</t>
        </is>
      </c>
      <c r="O8" s="8" t="inlineStr">
        <is>
          <t>CI (Node 22 / PostgreSQL 16)</t>
        </is>
      </c>
    </row>
    <row r="9">
      <c r="A9" s="8" t="inlineStr">
        <is>
          <t>TC-005</t>
        </is>
      </c>
      <c r="B9" s="8" t="inlineStr">
        <is>
          <t>Authentication and session</t>
        </is>
      </c>
      <c r="C9" s="8" t="inlineStr">
        <is>
          <t>Lockout after 5 failures</t>
        </is>
      </c>
      <c r="D9" s="8" t="inlineStr">
        <is>
          <t>User exec. Five wrong passwords, then the correct one</t>
        </is>
      </c>
      <c r="E9" s="8" t="inlineStr"/>
      <c r="F9" s="8" t="inlineStr">
        <is>
          <t>Attempts 1 to 5 return 401. Attempt 6 returns 423 ACCOUNT_LOCKED. Audit auth.login_locked</t>
        </is>
      </c>
      <c r="G9" s="8" t="inlineStr">
        <is>
          <t>As expected. Evidence: test/security/security.test.js (12/12 passed)</t>
        </is>
      </c>
      <c r="H9" s="8" t="inlineStr">
        <is>
          <t>Pass</t>
        </is>
      </c>
      <c r="I9" s="8" t="inlineStr">
        <is>
          <t>Sec</t>
        </is>
      </c>
      <c r="J9" s="8" t="inlineStr">
        <is>
          <t>P1</t>
        </is>
      </c>
      <c r="K9" s="8" t="inlineStr">
        <is>
          <t>security</t>
        </is>
      </c>
      <c r="L9" s="8" t="inlineStr">
        <is>
          <t>—</t>
        </is>
      </c>
      <c r="M9" s="8" t="inlineStr">
        <is>
          <t>2026-10-08</t>
        </is>
      </c>
      <c r="N9" s="8" t="inlineStr">
        <is>
          <t>Automated (CI)</t>
        </is>
      </c>
      <c r="O9" s="8" t="inlineStr">
        <is>
          <t>CI (Node 22 / PostgreSQL 16)</t>
        </is>
      </c>
    </row>
    <row r="10">
      <c r="A10" s="8" t="inlineStr">
        <is>
          <t>TC-006</t>
        </is>
      </c>
      <c r="B10" s="8" t="inlineStr">
        <is>
          <t>Authentication and session</t>
        </is>
      </c>
      <c r="C10" s="8" t="inlineStr">
        <is>
          <t>Lock expires</t>
        </is>
      </c>
      <c r="D10" s="8" t="inlineStr">
        <is>
          <t>After TC-005, clock advanced 15 minutes. Correct sign-in</t>
        </is>
      </c>
      <c r="E10" s="8" t="inlineStr"/>
      <c r="F10" s="8" t="inlineStr">
        <is>
          <t>200. Failure counter 0, lock cleared</t>
        </is>
      </c>
      <c r="G10" s="8" t="inlineStr">
        <is>
          <t>As expected. Evidence: test/security/security.test.js (12/12 passed)</t>
        </is>
      </c>
      <c r="H10" s="8" t="inlineStr">
        <is>
          <t>Pass</t>
        </is>
      </c>
      <c r="I10" s="8" t="inlineStr">
        <is>
          <t>Sec</t>
        </is>
      </c>
      <c r="J10" s="8" t="inlineStr">
        <is>
          <t>P2</t>
        </is>
      </c>
      <c r="K10" s="8" t="inlineStr">
        <is>
          <t>security</t>
        </is>
      </c>
      <c r="L10" s="8" t="inlineStr">
        <is>
          <t>—</t>
        </is>
      </c>
      <c r="M10" s="8" t="inlineStr">
        <is>
          <t>2026-10-08</t>
        </is>
      </c>
      <c r="N10" s="8" t="inlineStr">
        <is>
          <t>Automated (CI)</t>
        </is>
      </c>
      <c r="O10" s="8" t="inlineStr">
        <is>
          <t>CI (Node 22 / PostgreSQL 16)</t>
        </is>
      </c>
    </row>
    <row r="11">
      <c r="A11" s="8" t="inlineStr">
        <is>
          <t>TC-007</t>
        </is>
      </c>
      <c r="B11" s="8" t="inlineStr">
        <is>
          <t>Authentication and session</t>
        </is>
      </c>
      <c r="C11" s="8" t="inlineStr">
        <is>
          <t>No username enumeration</t>
        </is>
      </c>
      <c r="D11" s="8" t="inlineStr">
        <is>
          <t>Sign in with an unknown user, then with a known user and a wrong password</t>
        </is>
      </c>
      <c r="E11" s="8" t="inlineStr"/>
      <c r="F11" s="8" t="inlineStr">
        <is>
          <t>Same 401 message. Response times within ±30 % (dummy hash). Audit actor anonymous</t>
        </is>
      </c>
      <c r="G11" s="8" t="inlineStr">
        <is>
          <t>As expected. Evidence: test/security/security.test.js (12/12 passed)</t>
        </is>
      </c>
      <c r="H11" s="8" t="inlineStr">
        <is>
          <t>Pass</t>
        </is>
      </c>
      <c r="I11" s="8" t="inlineStr">
        <is>
          <t>Sec</t>
        </is>
      </c>
      <c r="J11" s="8" t="inlineStr">
        <is>
          <t>P2</t>
        </is>
      </c>
      <c r="K11" s="8" t="inlineStr">
        <is>
          <t>security</t>
        </is>
      </c>
      <c r="L11" s="8" t="inlineStr">
        <is>
          <t>—</t>
        </is>
      </c>
      <c r="M11" s="8" t="inlineStr">
        <is>
          <t>2026-10-08</t>
        </is>
      </c>
      <c r="N11" s="8" t="inlineStr">
        <is>
          <t>Automated (CI)</t>
        </is>
      </c>
      <c r="O11" s="8" t="inlineStr">
        <is>
          <t>CI (Node 22 / PostgreSQL 16)</t>
        </is>
      </c>
    </row>
    <row r="12">
      <c r="A12" s="8" t="inlineStr">
        <is>
          <t>TC-008</t>
        </is>
      </c>
      <c r="B12" s="8" t="inlineStr">
        <is>
          <t>Authentication and session</t>
        </is>
      </c>
      <c r="C12" s="8" t="inlineStr">
        <is>
          <t>Wrong MFA code</t>
        </is>
      </c>
      <c r="D12" s="8" t="inlineStr">
        <is>
          <t>After TC-002. Submit code 000000</t>
        </is>
      </c>
      <c r="E12" s="8" t="inlineStr"/>
      <c r="F12" s="8" t="inlineStr">
        <is>
          <t>401 "Invalid code". Audit auth.mfa_failed. Failure counter incremented</t>
        </is>
      </c>
      <c r="G12" s="8" t="inlineStr">
        <is>
          <t>As expected. Evidence: test/security/security.test.js (12/12 passed)</t>
        </is>
      </c>
      <c r="H12" s="8" t="inlineStr">
        <is>
          <t>Pass</t>
        </is>
      </c>
      <c r="I12" s="8" t="inlineStr">
        <is>
          <t>Sec</t>
        </is>
      </c>
      <c r="J12" s="8" t="inlineStr">
        <is>
          <t>P1</t>
        </is>
      </c>
      <c r="K12" s="8" t="inlineStr">
        <is>
          <t>security</t>
        </is>
      </c>
      <c r="L12" s="8" t="inlineStr">
        <is>
          <t>—</t>
        </is>
      </c>
      <c r="M12" s="8" t="inlineStr">
        <is>
          <t>2026-10-08</t>
        </is>
      </c>
      <c r="N12" s="8" t="inlineStr">
        <is>
          <t>Automated (CI)</t>
        </is>
      </c>
      <c r="O12" s="8" t="inlineStr">
        <is>
          <t>CI (Node 22 / PostgreSQL 16)</t>
        </is>
      </c>
    </row>
    <row r="13">
      <c r="A13" s="8" t="inlineStr">
        <is>
          <t>TC-009</t>
        </is>
      </c>
      <c r="B13" s="8" t="inlineStr">
        <is>
          <t>Authentication and session</t>
        </is>
      </c>
      <c r="C13" s="8" t="inlineStr">
        <is>
          <t>MFA session expires</t>
        </is>
      </c>
      <c r="D13" s="8" t="inlineStr">
        <is>
          <t>After TC-002, clock +301 s. Submit a valid code</t>
        </is>
      </c>
      <c r="E13" s="8" t="inlineStr"/>
      <c r="F13" s="8" t="inlineStr">
        <is>
          <t>401 "MFA session expired — sign in again"</t>
        </is>
      </c>
      <c r="G13" s="8" t="inlineStr">
        <is>
          <t>As expected. Evidence: test/api/api.test.js (12/12 passed); test/api/consoleWorkflows.test.js (7/7 passed); test/api/salesConsole.test.js (4/4 passed)</t>
        </is>
      </c>
      <c r="H13" s="8" t="inlineStr">
        <is>
          <t>Pass</t>
        </is>
      </c>
      <c r="I13" s="8" t="inlineStr">
        <is>
          <t>API</t>
        </is>
      </c>
      <c r="J13" s="8" t="inlineStr">
        <is>
          <t>P2</t>
        </is>
      </c>
      <c r="K13" s="8" t="inlineStr">
        <is>
          <t>api</t>
        </is>
      </c>
      <c r="L13" s="8" t="inlineStr">
        <is>
          <t>—</t>
        </is>
      </c>
      <c r="M13" s="8" t="inlineStr">
        <is>
          <t>2026-10-08</t>
        </is>
      </c>
      <c r="N13" s="8" t="inlineStr">
        <is>
          <t>Automated (CI)</t>
        </is>
      </c>
      <c r="O13" s="8" t="inlineStr">
        <is>
          <t>CI (Node 22 / PostgreSQL 16)</t>
        </is>
      </c>
    </row>
    <row r="14">
      <c r="A14" s="8" t="inlineStr">
        <is>
          <t>TC-010</t>
        </is>
      </c>
      <c r="B14" s="8" t="inlineStr">
        <is>
          <t>Authentication and session</t>
        </is>
      </c>
      <c r="C14" s="8" t="inlineStr">
        <is>
          <t>MFA self-enrolment</t>
        </is>
      </c>
      <c r="D14" s="8" t="inlineStr">
        <is>
          <t>Admin creates a rule_approver user (seed never shown to the admin). User signs in, scans the code, submits a valid code, changes password</t>
        </is>
      </c>
      <c r="E14" s="8" t="inlineStr"/>
      <c r="F14" s="8" t="inlineStr">
        <is>
          <t>Sign-in returns mfaEnrolment:true and otpauthUri. First valid code completes enrolment (audit auth.mfa_enrolled) and asks for a password change. Later sign-ins challenge without the URI</t>
        </is>
      </c>
      <c r="G14" s="8" t="inlineStr">
        <is>
          <t>As expected. Evidence: test/api/api.test.js (12/12 passed); test/api/consoleWorkflows.test.js (7/7 passed); test/api/salesConsole.test.js (4/4 passed)</t>
        </is>
      </c>
      <c r="H14" s="8" t="inlineStr">
        <is>
          <t>Pass</t>
        </is>
      </c>
      <c r="I14" s="8" t="inlineStr">
        <is>
          <t>API</t>
        </is>
      </c>
      <c r="J14" s="8" t="inlineStr">
        <is>
          <t>P1</t>
        </is>
      </c>
      <c r="K14" s="8" t="inlineStr">
        <is>
          <t>api</t>
        </is>
      </c>
      <c r="L14" s="8" t="inlineStr">
        <is>
          <t>—</t>
        </is>
      </c>
      <c r="M14" s="8" t="inlineStr">
        <is>
          <t>2026-10-08</t>
        </is>
      </c>
      <c r="N14" s="8" t="inlineStr">
        <is>
          <t>Automated (CI)</t>
        </is>
      </c>
      <c r="O14" s="8" t="inlineStr">
        <is>
          <t>CI (Node 22 / PostgreSQL 16)</t>
        </is>
      </c>
    </row>
    <row r="15">
      <c r="A15" s="8" t="inlineStr">
        <is>
          <t>TC-011</t>
        </is>
      </c>
      <c r="B15" s="8" t="inlineStr">
        <is>
          <t>Authentication and session</t>
        </is>
      </c>
      <c r="C15" s="8" t="inlineStr">
        <is>
          <t>Disabled user cut off at once</t>
        </is>
      </c>
      <c r="D15" s="8" t="inlineStr">
        <is>
          <t>agent.hn holds a valid token. Admin sets status disabled. Agent calls GET /api/auth/me, then signs in</t>
        </is>
      </c>
      <c r="E15" s="8" t="inlineStr"/>
      <c r="F15" s="8" t="inlineStr">
        <is>
          <t>me returns 401 (status checked on every request; earlier tokens invalid). Sign-in returns 401, reason inactive</t>
        </is>
      </c>
      <c r="G15" s="8" t="inlineStr">
        <is>
          <t>As expected. Evidence: test/api/api.test.js (12/12 passed); test/api/consoleWorkflows.test.js (7/7 passed); test/api/salesConsole.test.js (4/4 passed)</t>
        </is>
      </c>
      <c r="H15" s="8" t="inlineStr">
        <is>
          <t>Pass</t>
        </is>
      </c>
      <c r="I15" s="8" t="inlineStr">
        <is>
          <t>API</t>
        </is>
      </c>
      <c r="J15" s="8" t="inlineStr">
        <is>
          <t>P1</t>
        </is>
      </c>
      <c r="K15" s="8" t="inlineStr">
        <is>
          <t>api</t>
        </is>
      </c>
      <c r="L15" s="8" t="inlineStr">
        <is>
          <t>—</t>
        </is>
      </c>
      <c r="M15" s="8" t="inlineStr">
        <is>
          <t>2026-10-08</t>
        </is>
      </c>
      <c r="N15" s="8" t="inlineStr">
        <is>
          <t>Automated (CI)</t>
        </is>
      </c>
      <c r="O15" s="8" t="inlineStr">
        <is>
          <t>CI (Node 22 / PostgreSQL 16)</t>
        </is>
      </c>
    </row>
    <row r="16">
      <c r="A16" s="8" t="inlineStr">
        <is>
          <t>TC-012</t>
        </is>
      </c>
      <c r="B16" s="8" t="inlineStr">
        <is>
          <t>Authentication and session</t>
        </is>
      </c>
      <c r="C16" s="8" t="inlineStr">
        <is>
          <t>Demo code helper absent outside demo mode</t>
        </is>
      </c>
      <c r="D16" s="8" t="inlineStr">
        <is>
          <t>Demo mode off. GET /api/demo/totp/admin</t>
        </is>
      </c>
      <c r="E16" s="8" t="inlineStr"/>
      <c r="F16" s="8" t="inlineStr">
        <is>
          <t>404 NOT_FOUND</t>
        </is>
      </c>
      <c r="G16" s="8" t="inlineStr">
        <is>
          <t>As expected. Evidence: test/security/security.test.js (12/12 passed)</t>
        </is>
      </c>
      <c r="H16" s="8" t="inlineStr">
        <is>
          <t>Pass</t>
        </is>
      </c>
      <c r="I16" s="8" t="inlineStr">
        <is>
          <t>Sec</t>
        </is>
      </c>
      <c r="J16" s="8" t="inlineStr">
        <is>
          <t>P1</t>
        </is>
      </c>
      <c r="K16" s="8" t="inlineStr">
        <is>
          <t>security</t>
        </is>
      </c>
      <c r="L16" s="8" t="inlineStr">
        <is>
          <t>—</t>
        </is>
      </c>
      <c r="M16" s="8" t="inlineStr">
        <is>
          <t>2026-10-08</t>
        </is>
      </c>
      <c r="N16" s="8" t="inlineStr">
        <is>
          <t>Automated (CI)</t>
        </is>
      </c>
      <c r="O16" s="8" t="inlineStr">
        <is>
          <t>CI (Node 22 / PostgreSQL 16)</t>
        </is>
      </c>
    </row>
    <row r="17">
      <c r="A17" s="8" t="inlineStr">
        <is>
          <t>TC-013</t>
        </is>
      </c>
      <c r="B17" s="8" t="inlineStr">
        <is>
          <t>Authentication and session</t>
        </is>
      </c>
      <c r="C17" s="8" t="inlineStr">
        <is>
          <t>Token with alg: none rejected</t>
        </is>
      </c>
      <c r="D17" s="8" t="inlineStr">
        <is>
          <t>Re-encode a valid token with alg: none and no signature</t>
        </is>
      </c>
      <c r="E17" s="8" t="inlineStr"/>
      <c r="F17" s="8" t="inlineStr">
        <is>
          <t>401</t>
        </is>
      </c>
      <c r="G17" s="8" t="inlineStr">
        <is>
          <t>As expected. Evidence: test/security/security.test.js (12/12 passed)</t>
        </is>
      </c>
      <c r="H17" s="8" t="inlineStr">
        <is>
          <t>Pass</t>
        </is>
      </c>
      <c r="I17" s="8" t="inlineStr">
        <is>
          <t>Sec</t>
        </is>
      </c>
      <c r="J17" s="8" t="inlineStr">
        <is>
          <t>P1</t>
        </is>
      </c>
      <c r="K17" s="8" t="inlineStr">
        <is>
          <t>security</t>
        </is>
      </c>
      <c r="L17" s="8" t="inlineStr">
        <is>
          <t>—</t>
        </is>
      </c>
      <c r="M17" s="8" t="inlineStr">
        <is>
          <t>2026-10-08</t>
        </is>
      </c>
      <c r="N17" s="8" t="inlineStr">
        <is>
          <t>Automated (CI)</t>
        </is>
      </c>
      <c r="O17" s="8" t="inlineStr">
        <is>
          <t>CI (Node 22 / PostgreSQL 16)</t>
        </is>
      </c>
    </row>
    <row r="18">
      <c r="A18" s="8" t="inlineStr">
        <is>
          <t>TC-014</t>
        </is>
      </c>
      <c r="B18" s="8" t="inlineStr">
        <is>
          <t>Authentication and session</t>
        </is>
      </c>
      <c r="C18" s="8" t="inlineStr">
        <is>
          <t>Tampered token rejected</t>
        </is>
      </c>
      <c r="D18" s="8" t="inlineStr">
        <is>
          <t>exec token with roles changed to admin, signature kept</t>
        </is>
      </c>
      <c r="E18" s="8" t="inlineStr"/>
      <c r="F18" s="8" t="inlineStr">
        <is>
          <t>401 (signature mismatch). Roles are read from the user record, not the token</t>
        </is>
      </c>
      <c r="G18" s="8" t="inlineStr">
        <is>
          <t>As expected. Evidence: test/security/security.test.js (12/12 passed)</t>
        </is>
      </c>
      <c r="H18" s="8" t="inlineStr">
        <is>
          <t>Pass</t>
        </is>
      </c>
      <c r="I18" s="8" t="inlineStr">
        <is>
          <t>Sec</t>
        </is>
      </c>
      <c r="J18" s="8" t="inlineStr">
        <is>
          <t>P1</t>
        </is>
      </c>
      <c r="K18" s="8" t="inlineStr">
        <is>
          <t>security</t>
        </is>
      </c>
      <c r="L18" s="8" t="inlineStr">
        <is>
          <t>—</t>
        </is>
      </c>
      <c r="M18" s="8" t="inlineStr">
        <is>
          <t>2026-10-08</t>
        </is>
      </c>
      <c r="N18" s="8" t="inlineStr">
        <is>
          <t>Automated (CI)</t>
        </is>
      </c>
      <c r="O18" s="8" t="inlineStr">
        <is>
          <t>CI (Node 22 / PostgreSQL 16)</t>
        </is>
      </c>
    </row>
    <row r="19">
      <c r="A19" s="8" t="inlineStr">
        <is>
          <t>TC-015</t>
        </is>
      </c>
      <c r="B19" s="8" t="inlineStr">
        <is>
          <t>Authentication and session</t>
        </is>
      </c>
      <c r="C19" s="8" t="inlineStr">
        <is>
          <t>Expired token rejected</t>
        </is>
      </c>
      <c r="D19" s="8" t="inlineStr">
        <is>
          <t>Token signed with a negative lifetime</t>
        </is>
      </c>
      <c r="E19" s="8" t="inlineStr"/>
      <c r="F19" s="8" t="inlineStr">
        <is>
          <t>401</t>
        </is>
      </c>
      <c r="G19" s="8" t="inlineStr">
        <is>
          <t>As expected. Evidence: test/security/security.test.js (12/12 passed)</t>
        </is>
      </c>
      <c r="H19" s="8" t="inlineStr">
        <is>
          <t>Pass</t>
        </is>
      </c>
      <c r="I19" s="8" t="inlineStr">
        <is>
          <t>Sec</t>
        </is>
      </c>
      <c r="J19" s="8" t="inlineStr">
        <is>
          <t>P1</t>
        </is>
      </c>
      <c r="K19" s="8" t="inlineStr">
        <is>
          <t>security</t>
        </is>
      </c>
      <c r="L19" s="8" t="inlineStr">
        <is>
          <t>—</t>
        </is>
      </c>
      <c r="M19" s="8" t="inlineStr">
        <is>
          <t>2026-10-08</t>
        </is>
      </c>
      <c r="N19" s="8" t="inlineStr">
        <is>
          <t>Automated (CI)</t>
        </is>
      </c>
      <c r="O19" s="8" t="inlineStr">
        <is>
          <t>CI (Node 22 / PostgreSQL 16)</t>
        </is>
      </c>
    </row>
    <row r="20">
      <c r="A20" s="8" t="inlineStr">
        <is>
          <t>TC-016</t>
        </is>
      </c>
      <c r="B20" s="8" t="inlineStr">
        <is>
          <t>Authentication and session</t>
        </is>
      </c>
      <c r="C20" s="8" t="inlineStr">
        <is>
          <t>Token audience confusion</t>
        </is>
      </c>
      <c r="D20" s="8" t="inlineStr">
        <is>
          <t>Use the MFA token on a staff route. Use a customer token on GET /api/leads</t>
        </is>
      </c>
      <c r="E20" s="8" t="inlineStr"/>
      <c r="F20" s="8" t="inlineStr">
        <is>
          <t>MFA token: 401. Customer token: 403 "Staff token required"</t>
        </is>
      </c>
      <c r="G20" s="8" t="inlineStr">
        <is>
          <t>As expected. Evidence: test/security/security.test.js (12/12 passed)</t>
        </is>
      </c>
      <c r="H20" s="8" t="inlineStr">
        <is>
          <t>Pass</t>
        </is>
      </c>
      <c r="I20" s="8" t="inlineStr">
        <is>
          <t>Sec</t>
        </is>
      </c>
      <c r="J20" s="8" t="inlineStr">
        <is>
          <t>P1</t>
        </is>
      </c>
      <c r="K20" s="8" t="inlineStr">
        <is>
          <t>security</t>
        </is>
      </c>
      <c r="L20" s="8" t="inlineStr">
        <is>
          <t>—</t>
        </is>
      </c>
      <c r="M20" s="8" t="inlineStr">
        <is>
          <t>2026-10-08</t>
        </is>
      </c>
      <c r="N20" s="8" t="inlineStr">
        <is>
          <t>Automated (CI)</t>
        </is>
      </c>
      <c r="O20" s="8" t="inlineStr">
        <is>
          <t>CI (Node 22 / PostgreSQL 16)</t>
        </is>
      </c>
    </row>
    <row r="21">
      <c r="A21" s="8" t="inlineStr">
        <is>
          <t>TC-017</t>
        </is>
      </c>
      <c r="B21" s="8" t="inlineStr">
        <is>
          <t>Authentication and session</t>
        </is>
      </c>
      <c r="C21" s="8" t="inlineStr">
        <is>
          <t>Sign-out revokes the token</t>
        </is>
      </c>
      <c r="D21" s="8" t="inlineStr">
        <is>
          <t>exec signed in. POST /api/auth/logout, then GET /api/auth/me</t>
        </is>
      </c>
      <c r="E21" s="8" t="inlineStr"/>
      <c r="F21" s="8" t="inlineStr">
        <is>
          <t>401 on the same replica. Revocation is per replica (KI-07)</t>
        </is>
      </c>
      <c r="G21" s="8" t="inlineStr">
        <is>
          <t>Known issue KI-07 still open — expected behaviour not yet delivered; tracked in the KI register.</t>
        </is>
      </c>
      <c r="H21" s="8" t="inlineStr">
        <is>
          <t>Blocked</t>
        </is>
      </c>
      <c r="I21" s="8" t="inlineStr">
        <is>
          <t>API</t>
        </is>
      </c>
      <c r="J21" s="8" t="inlineStr">
        <is>
          <t>P2</t>
        </is>
      </c>
      <c r="K21" s="8" t="inlineStr">
        <is>
          <t>api (blocked by KI-07)</t>
        </is>
      </c>
      <c r="L21" s="8" t="inlineStr">
        <is>
          <t>KI-07</t>
        </is>
      </c>
      <c r="M21" s="8" t="inlineStr"/>
      <c r="N21" s="8" t="inlineStr"/>
      <c r="O21" s="8" t="inlineStr"/>
    </row>
    <row r="22">
      <c r="A22" s="8" t="inlineStr">
        <is>
          <t>TC-018</t>
        </is>
      </c>
      <c r="B22" s="8" t="inlineStr">
        <is>
          <t>Authentication and session</t>
        </is>
      </c>
      <c r="C22" s="8" t="inlineStr">
        <is>
          <t>Password policy and change</t>
        </is>
      </c>
      <c r="D22" s="8" t="inlineStr">
        <is>
          <t>exec. New password short; then a wrong current password; then a valid change</t>
        </is>
      </c>
      <c r="E22" s="8" t="inlineStr"/>
      <c r="F22" s="8" t="inlineStr">
        <is>
          <t>400 password policy (12 characters minimum, must differ). 401 "Current password is incorrect". 200 {reauthenticate:true}; old token rejected afterwards</t>
        </is>
      </c>
      <c r="G22" s="8" t="inlineStr">
        <is>
          <t>As expected. Evidence: test/api/api.test.js (12/12 passed); test/api/consoleWorkflows.test.js (7/7 passed); test/api/salesConsole.test.js (4/4 passed)</t>
        </is>
      </c>
      <c r="H22" s="8" t="inlineStr">
        <is>
          <t>Pass</t>
        </is>
      </c>
      <c r="I22" s="8" t="inlineStr">
        <is>
          <t>API</t>
        </is>
      </c>
      <c r="J22" s="8" t="inlineStr">
        <is>
          <t>P2</t>
        </is>
      </c>
      <c r="K22" s="8" t="inlineStr">
        <is>
          <t>api</t>
        </is>
      </c>
      <c r="L22" s="8" t="inlineStr">
        <is>
          <t>—</t>
        </is>
      </c>
      <c r="M22" s="8" t="inlineStr">
        <is>
          <t>2026-10-08</t>
        </is>
      </c>
      <c r="N22" s="8" t="inlineStr">
        <is>
          <t>Automated (CI)</t>
        </is>
      </c>
      <c r="O22" s="8" t="inlineStr">
        <is>
          <t>CI (Node 22 / PostgreSQL 16)</t>
        </is>
      </c>
    </row>
    <row r="23">
      <c r="A23" s="8" t="inlineStr">
        <is>
          <t>TC-019</t>
        </is>
      </c>
      <c r="B23" s="8" t="inlineStr">
        <is>
          <t>Authentication and session</t>
        </is>
      </c>
      <c r="C23" s="8" t="inlineStr">
        <is>
          <t>Permissions match the role mapping</t>
        </is>
      </c>
      <c r="D23" s="8" t="inlineStr">
        <is>
          <t>Each demo user. GET /api/auth/me</t>
        </is>
      </c>
      <c r="E23" s="8" t="inlineStr"/>
      <c r="F23" s="8" t="inlineStr">
        <is>
          <t>Permissions equal the union of rbac.json for the user's roles</t>
        </is>
      </c>
      <c r="G23" s="8" t="inlineStr">
        <is>
          <t>As expected. Evidence: test/api/api.test.js (12/12 passed); test/api/consoleWorkflows.test.js (7/7 passed); test/api/salesConsole.test.js (4/4 passed)</t>
        </is>
      </c>
      <c r="H23" s="8" t="inlineStr">
        <is>
          <t>Pass</t>
        </is>
      </c>
      <c r="I23" s="8" t="inlineStr">
        <is>
          <t>API</t>
        </is>
      </c>
      <c r="J23" s="8" t="inlineStr">
        <is>
          <t>P2</t>
        </is>
      </c>
      <c r="K23" s="8" t="inlineStr">
        <is>
          <t>api</t>
        </is>
      </c>
      <c r="L23" s="8" t="inlineStr">
        <is>
          <t>—</t>
        </is>
      </c>
      <c r="M23" s="8" t="inlineStr">
        <is>
          <t>2026-10-08</t>
        </is>
      </c>
      <c r="N23" s="8" t="inlineStr">
        <is>
          <t>Automated (CI)</t>
        </is>
      </c>
      <c r="O23" s="8" t="inlineStr">
        <is>
          <t>CI (Node 22 / PostgreSQL 16)</t>
        </is>
      </c>
    </row>
    <row r="24">
      <c r="A24" s="8" t="inlineStr">
        <is>
          <t>TC-020</t>
        </is>
      </c>
      <c r="B24" s="8" t="inlineStr">
        <is>
          <t>Authentication and session</t>
        </is>
      </c>
      <c r="C24" s="8" t="inlineStr">
        <is>
          <t>MFA step honours lockout</t>
        </is>
      </c>
      <c r="D24" s="8" t="inlineStr">
        <is>
          <t>admin locked but holding a valid MFA token. Submit a correct code; replay a used code</t>
        </is>
      </c>
      <c r="E24" s="8" t="inlineStr"/>
      <c r="F24" s="8" t="inlineStr">
        <is>
          <t>423 ACCOUNT_LOCKED. Replayed code 401 "Invalid code" (KI-06 fixed)</t>
        </is>
      </c>
      <c r="G24" s="8" t="inlineStr">
        <is>
          <t>As expected. Evidence: test/security/security.test.js (12/12 passed) (fix for KI-06 verified)</t>
        </is>
      </c>
      <c r="H24" s="8" t="inlineStr">
        <is>
          <t>Pass</t>
        </is>
      </c>
      <c r="I24" s="8" t="inlineStr">
        <is>
          <t>Sec</t>
        </is>
      </c>
      <c r="J24" s="8" t="inlineStr">
        <is>
          <t>P2</t>
        </is>
      </c>
      <c r="K24" s="8" t="inlineStr">
        <is>
          <t>security</t>
        </is>
      </c>
      <c r="L24" s="8" t="inlineStr">
        <is>
          <t>KI-06</t>
        </is>
      </c>
      <c r="M24" s="8" t="inlineStr">
        <is>
          <t>2026-10-08</t>
        </is>
      </c>
      <c r="N24" s="8" t="inlineStr">
        <is>
          <t>Automated (CI)</t>
        </is>
      </c>
      <c r="O24" s="8" t="inlineStr">
        <is>
          <t>CI (Node 22 / PostgreSQL 16)</t>
        </is>
      </c>
    </row>
    <row r="25">
      <c r="A25" s="8" t="inlineStr">
        <is>
          <t>TC-021</t>
        </is>
      </c>
      <c r="B25" s="8" t="inlineStr">
        <is>
          <t>Authorisation (RBAC and ABAC)</t>
        </is>
      </c>
      <c r="C25" s="8" t="inlineStr">
        <is>
          <t>Route and role authorisation matrix</t>
        </is>
      </c>
      <c r="D25" s="8" t="inlineStr">
        <is>
          <t>Tokens for 13 staff roles, a customer and a partner. Call all 103 routes with each principal</t>
        </is>
      </c>
      <c r="E25" s="8" t="inlineStr"/>
      <c r="F25" s="8" t="inlineStr">
        <is>
          <t>Missing permission: 403 FORBIDDEN. No token: 401. Public routes open</t>
        </is>
      </c>
      <c r="G25" s="8" t="inlineStr">
        <is>
          <t>As expected. Evidence: test/api/api.test.js (12/12 passed); test/api/consoleWorkflows.test.js (7/7 passed); test/api/salesConsole.test.js (4/4 passed)</t>
        </is>
      </c>
      <c r="H25" s="8" t="inlineStr">
        <is>
          <t>Pass</t>
        </is>
      </c>
      <c r="I25" s="8" t="inlineStr">
        <is>
          <t>API</t>
        </is>
      </c>
      <c r="J25" s="8" t="inlineStr">
        <is>
          <t>P1</t>
        </is>
      </c>
      <c r="K25" s="8" t="inlineStr">
        <is>
          <t>api</t>
        </is>
      </c>
      <c r="L25" s="8" t="inlineStr">
        <is>
          <t>—</t>
        </is>
      </c>
      <c r="M25" s="8" t="inlineStr">
        <is>
          <t>2026-10-08</t>
        </is>
      </c>
      <c r="N25" s="8" t="inlineStr">
        <is>
          <t>Automated (CI)</t>
        </is>
      </c>
      <c r="O25" s="8" t="inlineStr">
        <is>
          <t>CI (Node 22 / PostgreSQL 16)</t>
        </is>
      </c>
    </row>
    <row r="26">
      <c r="A26" s="8" t="inlineStr">
        <is>
          <t>TC-022</t>
        </is>
      </c>
      <c r="B26" s="8" t="inlineStr">
        <is>
          <t>Authorisation (RBAC and ABAC)</t>
        </is>
      </c>
      <c r="C26" s="8" t="inlineStr">
        <is>
          <t>Administrator has no business data</t>
        </is>
      </c>
      <c r="D26" s="8" t="inlineStr">
        <is>
          <t>admin. Open a customer; create a rule; approve a rule</t>
        </is>
      </c>
      <c r="E26" s="8" t="inlineStr"/>
      <c r="F26" s="8" t="inlineStr">
        <is>
          <t>403 for all three</t>
        </is>
      </c>
      <c r="G26" s="8" t="inlineStr">
        <is>
          <t>As expected. Evidence: test/api/api.test.js (12/12 passed); test/api/consoleWorkflows.test.js (7/7 passed); test/api/salesConsole.test.js (4/4 passed)</t>
        </is>
      </c>
      <c r="H26" s="8" t="inlineStr">
        <is>
          <t>Pass</t>
        </is>
      </c>
      <c r="I26" s="8" t="inlineStr">
        <is>
          <t>API</t>
        </is>
      </c>
      <c r="J26" s="8" t="inlineStr">
        <is>
          <t>P1</t>
        </is>
      </c>
      <c r="K26" s="8" t="inlineStr">
        <is>
          <t>api</t>
        </is>
      </c>
      <c r="L26" s="8" t="inlineStr">
        <is>
          <t>—</t>
        </is>
      </c>
      <c r="M26" s="8" t="inlineStr">
        <is>
          <t>2026-10-08</t>
        </is>
      </c>
      <c r="N26" s="8" t="inlineStr">
        <is>
          <t>Automated (CI)</t>
        </is>
      </c>
      <c r="O26" s="8" t="inlineStr">
        <is>
          <t>CI (Node 22 / PostgreSQL 16)</t>
        </is>
      </c>
    </row>
    <row r="27">
      <c r="A27" s="8" t="inlineStr">
        <is>
          <t>TC-023</t>
        </is>
      </c>
      <c r="B27" s="8" t="inlineStr">
        <is>
          <t>Authorisation (RBAC and ABAC)</t>
        </is>
      </c>
      <c r="C27" s="8" t="inlineStr">
        <is>
          <t>Agents see their own region's leads</t>
        </is>
      </c>
      <c r="D27" s="8" t="inlineStr">
        <is>
          <t>agent.hn. Request leads for TP. Hồ Chí Minh</t>
        </is>
      </c>
      <c r="E27" s="8" t="inlineStr"/>
      <c r="F27" s="8" t="inlineStr">
        <is>
          <t>Every lead returned is in Hà Nội; the region filter is overridden</t>
        </is>
      </c>
      <c r="G27" s="8" t="inlineStr">
        <is>
          <t>As expected. Evidence: test/api/api.test.js (12/12 passed); test/api/consoleWorkflows.test.js (7/7 passed); test/api/salesConsole.test.js (4/4 passed)</t>
        </is>
      </c>
      <c r="H27" s="8" t="inlineStr">
        <is>
          <t>Pass</t>
        </is>
      </c>
      <c r="I27" s="8" t="inlineStr">
        <is>
          <t>API</t>
        </is>
      </c>
      <c r="J27" s="8" t="inlineStr">
        <is>
          <t>P1</t>
        </is>
      </c>
      <c r="K27" s="8" t="inlineStr">
        <is>
          <t>api</t>
        </is>
      </c>
      <c r="L27" s="8" t="inlineStr">
        <is>
          <t>—</t>
        </is>
      </c>
      <c r="M27" s="8" t="inlineStr">
        <is>
          <t>2026-10-08</t>
        </is>
      </c>
      <c r="N27" s="8" t="inlineStr">
        <is>
          <t>Automated (CI)</t>
        </is>
      </c>
      <c r="O27" s="8" t="inlineStr">
        <is>
          <t>CI (Node 22 / PostgreSQL 16)</t>
        </is>
      </c>
    </row>
    <row r="28">
      <c r="A28" s="8" t="inlineStr">
        <is>
          <t>TC-024</t>
        </is>
      </c>
      <c r="B28" s="8" t="inlineStr">
        <is>
          <t>Authorisation (RBAC and ABAC)</t>
        </is>
      </c>
      <c r="C28" s="8" t="inlineStr">
        <is>
          <t>Regional restriction on Customer 360</t>
        </is>
      </c>
      <c r="D28" s="8" t="inlineStr">
        <is>
          <t>agent.hn. Open a TP. Hồ Chí Minh profile</t>
        </is>
      </c>
      <c r="E28" s="8" t="inlineStr"/>
      <c r="F28" s="8" t="inlineStr">
        <is>
          <t>403 "Policy regional_data denies read on this profile"</t>
        </is>
      </c>
      <c r="G28" s="8" t="inlineStr">
        <is>
          <t>As expected. Evidence: test/security/security.test.js (12/12 passed)</t>
        </is>
      </c>
      <c r="H28" s="8" t="inlineStr">
        <is>
          <t>Pass</t>
        </is>
      </c>
      <c r="I28" s="8" t="inlineStr">
        <is>
          <t>Sec</t>
        </is>
      </c>
      <c r="J28" s="8" t="inlineStr">
        <is>
          <t>P1</t>
        </is>
      </c>
      <c r="K28" s="8" t="inlineStr">
        <is>
          <t>security</t>
        </is>
      </c>
      <c r="L28" s="8" t="inlineStr">
        <is>
          <t>—</t>
        </is>
      </c>
      <c r="M28" s="8" t="inlineStr">
        <is>
          <t>2026-10-08</t>
        </is>
      </c>
      <c r="N28" s="8" t="inlineStr">
        <is>
          <t>Automated (CI)</t>
        </is>
      </c>
      <c r="O28" s="8" t="inlineStr">
        <is>
          <t>CI (Node 22 / PostgreSQL 16)</t>
        </is>
      </c>
    </row>
    <row r="29">
      <c r="A29" s="8" t="inlineStr">
        <is>
          <t>TC-025</t>
        </is>
      </c>
      <c r="B29" s="8" t="inlineStr">
        <is>
          <t>Authorisation (RBAC and ABAC)</t>
        </is>
      </c>
      <c r="C29" s="8" t="inlineStr">
        <is>
          <t>Agents see only their own or unassigned handoffs</t>
        </is>
      </c>
      <c r="D29" s="8" t="inlineStr">
        <is>
          <t>Handoff assigned to agent.hcm. agent.hn reads and updates it</t>
        </is>
      </c>
      <c r="E29" s="8" t="inlineStr"/>
      <c r="F29" s="8" t="inlineStr">
        <is>
          <t>403. The list omits it</t>
        </is>
      </c>
      <c r="G29" s="8" t="inlineStr">
        <is>
          <t>As expected. Evidence: test/security/security.test.js (12/12 passed)</t>
        </is>
      </c>
      <c r="H29" s="8" t="inlineStr">
        <is>
          <t>Pass</t>
        </is>
      </c>
      <c r="I29" s="8" t="inlineStr">
        <is>
          <t>Sec</t>
        </is>
      </c>
      <c r="J29" s="8" t="inlineStr">
        <is>
          <t>P1</t>
        </is>
      </c>
      <c r="K29" s="8" t="inlineStr">
        <is>
          <t>security</t>
        </is>
      </c>
      <c r="L29" s="8" t="inlineStr">
        <is>
          <t>—</t>
        </is>
      </c>
      <c r="M29" s="8" t="inlineStr">
        <is>
          <t>2026-10-08</t>
        </is>
      </c>
      <c r="N29" s="8" t="inlineStr">
        <is>
          <t>Automated (CI)</t>
        </is>
      </c>
      <c r="O29" s="8" t="inlineStr">
        <is>
          <t>CI (Node 22 / PostgreSQL 16)</t>
        </is>
      </c>
    </row>
    <row r="30">
      <c r="A30" s="8" t="inlineStr">
        <is>
          <t>TC-026</t>
        </is>
      </c>
      <c r="B30" s="8" t="inlineStr">
        <is>
          <t>Authorisation (RBAC and ABAC)</t>
        </is>
      </c>
      <c r="C30" s="8" t="inlineStr">
        <is>
          <t>Only supervisors assign work</t>
        </is>
      </c>
      <c r="D30" s="8" t="inlineStr">
        <is>
          <t>Open handoff. Agent assigns it; supervisor assigns it</t>
        </is>
      </c>
      <c r="E30" s="8" t="inlineStr"/>
      <c r="F30" s="8" t="inlineStr">
        <is>
          <t>Agent: 403 "Missing permission handoff:assign". Supervisor: 200, audit handoff.updated</t>
        </is>
      </c>
      <c r="G30" s="8" t="inlineStr">
        <is>
          <t>As expected. Evidence: test/api/api.test.js (12/12 passed); test/api/consoleWorkflows.test.js (7/7 passed); test/api/salesConsole.test.js (4/4 passed)</t>
        </is>
      </c>
      <c r="H30" s="8" t="inlineStr">
        <is>
          <t>Pass</t>
        </is>
      </c>
      <c r="I30" s="8" t="inlineStr">
        <is>
          <t>API</t>
        </is>
      </c>
      <c r="J30" s="8" t="inlineStr">
        <is>
          <t>P1</t>
        </is>
      </c>
      <c r="K30" s="8" t="inlineStr">
        <is>
          <t>api</t>
        </is>
      </c>
      <c r="L30" s="8" t="inlineStr">
        <is>
          <t>—</t>
        </is>
      </c>
      <c r="M30" s="8" t="inlineStr">
        <is>
          <t>2026-10-08</t>
        </is>
      </c>
      <c r="N30" s="8" t="inlineStr">
        <is>
          <t>Automated (CI)</t>
        </is>
      </c>
      <c r="O30" s="8" t="inlineStr">
        <is>
          <t>CI (Node 22 / PostgreSQL 16)</t>
        </is>
      </c>
    </row>
    <row r="31">
      <c r="A31" s="8" t="inlineStr">
        <is>
          <t>TC-027</t>
        </is>
      </c>
      <c r="B31" s="8" t="inlineStr">
        <is>
          <t>Authorisation (RBAC and ABAC)</t>
        </is>
      </c>
      <c r="C31" s="8" t="inlineStr">
        <is>
          <t>No self-administration; separation of duties</t>
        </is>
      </c>
      <c r="D31" s="8" t="inlineStr">
        <is>
          <t>admin changes own roles; creates a user with author and approver roles</t>
        </is>
      </c>
      <c r="E31" s="8" t="inlineStr"/>
      <c r="F31" s="8" t="inlineStr">
        <is>
          <t>422 "You cannot change your own roles or status". 422 separation-of-duties message</t>
        </is>
      </c>
      <c r="G31" s="8" t="inlineStr">
        <is>
          <t>As expected. Evidence: test/api/api.test.js (12/12 passed); test/api/consoleWorkflows.test.js (7/7 passed); test/api/salesConsole.test.js (4/4 passed)</t>
        </is>
      </c>
      <c r="H31" s="8" t="inlineStr">
        <is>
          <t>Pass</t>
        </is>
      </c>
      <c r="I31" s="8" t="inlineStr">
        <is>
          <t>API</t>
        </is>
      </c>
      <c r="J31" s="8" t="inlineStr">
        <is>
          <t>P2</t>
        </is>
      </c>
      <c r="K31" s="8" t="inlineStr">
        <is>
          <t>api</t>
        </is>
      </c>
      <c r="L31" s="8" t="inlineStr">
        <is>
          <t>—</t>
        </is>
      </c>
      <c r="M31" s="8" t="inlineStr">
        <is>
          <t>2026-10-08</t>
        </is>
      </c>
      <c r="N31" s="8" t="inlineStr">
        <is>
          <t>Automated (CI)</t>
        </is>
      </c>
      <c r="O31" s="8" t="inlineStr">
        <is>
          <t>CI (Node 22 / PostgreSQL 16)</t>
        </is>
      </c>
    </row>
    <row r="32">
      <c r="A32" s="8" t="inlineStr">
        <is>
          <t>TC-028</t>
        </is>
      </c>
      <c r="B32" s="8" t="inlineStr">
        <is>
          <t>Authorisation (RBAC and ABAC)</t>
        </is>
      </c>
      <c r="C32" s="8" t="inlineStr">
        <is>
          <t>Unknown role rejected</t>
        </is>
      </c>
      <c r="D32" s="8" t="inlineStr">
        <is>
          <t>admin creates a user with role superuser</t>
        </is>
      </c>
      <c r="E32" s="8" t="inlineStr"/>
      <c r="F32" s="8" t="inlineStr">
        <is>
          <t>400 "Unknown role superuser"</t>
        </is>
      </c>
      <c r="G32" s="8" t="inlineStr">
        <is>
          <t>As expected. Evidence: test/api/api.test.js (12/12 passed); test/api/consoleWorkflows.test.js (7/7 passed); test/api/salesConsole.test.js (4/4 passed)</t>
        </is>
      </c>
      <c r="H32" s="8" t="inlineStr">
        <is>
          <t>Pass</t>
        </is>
      </c>
      <c r="I32" s="8" t="inlineStr">
        <is>
          <t>API</t>
        </is>
      </c>
      <c r="J32" s="8" t="inlineStr">
        <is>
          <t>P2</t>
        </is>
      </c>
      <c r="K32" s="8" t="inlineStr">
        <is>
          <t>api</t>
        </is>
      </c>
      <c r="L32" s="8" t="inlineStr">
        <is>
          <t>—</t>
        </is>
      </c>
      <c r="M32" s="8" t="inlineStr">
        <is>
          <t>2026-10-08</t>
        </is>
      </c>
      <c r="N32" s="8" t="inlineStr">
        <is>
          <t>Automated (CI)</t>
        </is>
      </c>
      <c r="O32" s="8" t="inlineStr">
        <is>
          <t>CI (Node 22 / PostgreSQL 16)</t>
        </is>
      </c>
    </row>
    <row r="33">
      <c r="A33" s="8" t="inlineStr">
        <is>
          <t>TC-029</t>
        </is>
      </c>
      <c r="B33" s="8" t="inlineStr">
        <is>
          <t>Authorisation (RBAC and ABAC)</t>
        </is>
      </c>
      <c r="C33" s="8" t="inlineStr">
        <is>
          <t>Regional restriction beyond Customer 360</t>
        </is>
      </c>
      <c r="D33" s="8" t="inlineStr">
        <is>
          <t>agent.hn, HCM profile. Read lineage; start a voice session; list policies for the profile</t>
        </is>
      </c>
      <c r="E33" s="8" t="inlineStr"/>
      <c r="F33" s="8" t="inlineStr">
        <is>
          <t>Lineage: 403. Voice session and policies should return 403; today they return 200 (KI-10)</t>
        </is>
      </c>
      <c r="G33" s="8" t="inlineStr">
        <is>
          <t>Known issue KI-10 still open — expected behaviour not yet delivered; tracked in the KI register.</t>
        </is>
      </c>
      <c r="H33" s="8" t="inlineStr">
        <is>
          <t>Blocked</t>
        </is>
      </c>
      <c r="I33" s="8" t="inlineStr">
        <is>
          <t>Sec</t>
        </is>
      </c>
      <c r="J33" s="8" t="inlineStr">
        <is>
          <t>P2</t>
        </is>
      </c>
      <c r="K33" s="8" t="inlineStr">
        <is>
          <t>security (lineage); rest blocked by KI-10</t>
        </is>
      </c>
      <c r="L33" s="8" t="inlineStr">
        <is>
          <t>KI-10</t>
        </is>
      </c>
      <c r="M33" s="8" t="inlineStr"/>
      <c r="N33" s="8" t="inlineStr"/>
      <c r="O33" s="8" t="inlineStr"/>
    </row>
    <row r="34">
      <c r="A34" s="8" t="inlineStr">
        <is>
          <t>TC-030</t>
        </is>
      </c>
      <c r="B34" s="8" t="inlineStr">
        <is>
          <t>Authorisation (RBAC and ABAC)</t>
        </is>
      </c>
      <c r="C34" s="8" t="inlineStr">
        <is>
          <t>Staff and customer audiences kept apart</t>
        </is>
      </c>
      <c r="D34" s="8" t="inlineStr">
        <is>
          <t>Staff token on GET /api/customer/home; customer token on GET /api/policies</t>
        </is>
      </c>
      <c r="E34" s="8" t="inlineStr"/>
      <c r="F34" s="8" t="inlineStr">
        <is>
          <t>403 "Customer token required"; 403 "Staff token required"</t>
        </is>
      </c>
      <c r="G34" s="8" t="inlineStr">
        <is>
          <t>As expected. Evidence: test/security/security.test.js (12/12 passed)</t>
        </is>
      </c>
      <c r="H34" s="8" t="inlineStr">
        <is>
          <t>Pass</t>
        </is>
      </c>
      <c r="I34" s="8" t="inlineStr">
        <is>
          <t>Sec</t>
        </is>
      </c>
      <c r="J34" s="8" t="inlineStr">
        <is>
          <t>P1</t>
        </is>
      </c>
      <c r="K34" s="8" t="inlineStr">
        <is>
          <t>security</t>
        </is>
      </c>
      <c r="L34" s="8" t="inlineStr">
        <is>
          <t>—</t>
        </is>
      </c>
      <c r="M34" s="8" t="inlineStr">
        <is>
          <t>2026-10-08</t>
        </is>
      </c>
      <c r="N34" s="8" t="inlineStr">
        <is>
          <t>Automated (CI)</t>
        </is>
      </c>
      <c r="O34" s="8" t="inlineStr">
        <is>
          <t>CI (Node 22 / PostgreSQL 16)</t>
        </is>
      </c>
    </row>
    <row r="35">
      <c r="A35" s="8" t="inlineStr">
        <is>
          <t>TC-031</t>
        </is>
      </c>
      <c r="B35" s="8" t="inlineStr">
        <is>
          <t>Customer 360, data enrichment and MDM</t>
        </is>
      </c>
      <c r="C35" s="8" t="inlineStr">
        <is>
          <t>Personal data masked by permission</t>
        </is>
      </c>
      <c r="D35" s="8" t="inlineStr">
        <is>
          <t>campaign (no PII permission) and agent.hn (has it) open the same customer</t>
        </is>
      </c>
      <c r="E35" s="8" t="inlineStr"/>
      <c r="F35" s="8" t="inlineStr">
        <is>
          <t>Campaign sees masked name and phone. Agent sees clear values. Audit profile.viewed records which</t>
        </is>
      </c>
      <c r="G35" s="8" t="inlineStr">
        <is>
          <t>As expected. Evidence: test/api/api.test.js (12/12 passed); test/api/consoleWorkflows.test.js (7/7 passed); test/api/salesConsole.test.js (4/4 passed)</t>
        </is>
      </c>
      <c r="H35" s="8" t="inlineStr">
        <is>
          <t>Pass</t>
        </is>
      </c>
      <c r="I35" s="8" t="inlineStr">
        <is>
          <t>API</t>
        </is>
      </c>
      <c r="J35" s="8" t="inlineStr">
        <is>
          <t>P1</t>
        </is>
      </c>
      <c r="K35" s="8" t="inlineStr">
        <is>
          <t>api</t>
        </is>
      </c>
      <c r="L35" s="8" t="inlineStr">
        <is>
          <t>—</t>
        </is>
      </c>
      <c r="M35" s="8" t="inlineStr">
        <is>
          <t>2026-10-08</t>
        </is>
      </c>
      <c r="N35" s="8" t="inlineStr">
        <is>
          <t>Automated (CI)</t>
        </is>
      </c>
      <c r="O35" s="8" t="inlineStr">
        <is>
          <t>CI (Node 22 / PostgreSQL 16)</t>
        </is>
      </c>
    </row>
    <row r="36">
      <c r="A36" s="8" t="inlineStr">
        <is>
          <t>TC-032</t>
        </is>
      </c>
      <c r="B36" s="8" t="inlineStr">
        <is>
          <t>Customer 360, data enrichment and MDM</t>
        </is>
      </c>
      <c r="C36" s="8" t="inlineStr">
        <is>
          <t>Plate and phone normalised on ingest</t>
        </is>
      </c>
      <c r="D36" s="8" t="inlineStr">
        <is>
          <t>steward ingests plates 30a-123.45, 30A 12345, 30A.123.45, 30-12345 and three phone formats</t>
        </is>
      </c>
      <c r="E36" s="8" t="inlineStr"/>
      <c r="F36" s="8" t="inlineStr">
        <is>
          <t>First three plates map to 30A12345. 30-12345 rejected (DQ invalid_plate). Phones become 0912345678. Response rejected = 1</t>
        </is>
      </c>
      <c r="G36" s="8" t="inlineStr">
        <is>
          <t>As expected. Evidence: test/unit/identity.test.js (3/3 passed); test/integration/journeys.test.js (6/6 passed)</t>
        </is>
      </c>
      <c r="H36" s="8" t="inlineStr">
        <is>
          <t>Pass</t>
        </is>
      </c>
      <c r="I36" s="8" t="inlineStr">
        <is>
          <t>Int</t>
        </is>
      </c>
      <c r="J36" s="8" t="inlineStr">
        <is>
          <t>P1</t>
        </is>
      </c>
      <c r="K36" s="8" t="inlineStr">
        <is>
          <t>unit/identity, integration/journeys</t>
        </is>
      </c>
      <c r="L36" s="8" t="inlineStr">
        <is>
          <t>—</t>
        </is>
      </c>
      <c r="M36" s="8" t="inlineStr">
        <is>
          <t>2026-10-08</t>
        </is>
      </c>
      <c r="N36" s="8" t="inlineStr">
        <is>
          <t>Automated (CI)</t>
        </is>
      </c>
      <c r="O36" s="8" t="inlineStr">
        <is>
          <t>CI (Node 22 / PostgreSQL 16)</t>
        </is>
      </c>
    </row>
    <row r="37">
      <c r="A37" s="8" t="inlineStr">
        <is>
          <t>TC-033</t>
        </is>
      </c>
      <c r="B37" s="8" t="inlineStr">
        <is>
          <t>Customer 360, data enrichment and MDM</t>
        </is>
      </c>
      <c r="C37" s="8" t="inlineStr">
        <is>
          <t>Survivorship across sources</t>
        </is>
      </c>
      <c r="D37" s="8" t="inlineStr">
        <is>
          <t>Same plate from a VETC account (trust 0.85) and a partner agent (0.5) with different names</t>
        </is>
      </c>
      <c r="E37" s="8" t="inlineStr"/>
      <c r="F37" s="8" t="inlineStr">
        <is>
          <t>Golden profile takes the higher-trust value. Lineage lists both records</t>
        </is>
      </c>
      <c r="G37" s="8" t="inlineStr">
        <is>
          <t>As expected. Evidence: test/integration/journeys.test.js (6/6 passed)</t>
        </is>
      </c>
      <c r="H37" s="8" t="inlineStr">
        <is>
          <t>Pass</t>
        </is>
      </c>
      <c r="I37" s="8" t="inlineStr">
        <is>
          <t>Int</t>
        </is>
      </c>
      <c r="J37" s="8" t="inlineStr">
        <is>
          <t>P1</t>
        </is>
      </c>
      <c r="K37" s="8" t="inlineStr">
        <is>
          <t>integration/journeys</t>
        </is>
      </c>
      <c r="L37" s="8" t="inlineStr">
        <is>
          <t>—</t>
        </is>
      </c>
      <c r="M37" s="8" t="inlineStr">
        <is>
          <t>2026-10-08</t>
        </is>
      </c>
      <c r="N37" s="8" t="inlineStr">
        <is>
          <t>Automated (CI)</t>
        </is>
      </c>
      <c r="O37" s="8" t="inlineStr">
        <is>
          <t>CI (Node 22 / PostgreSQL 16)</t>
        </is>
      </c>
    </row>
    <row r="38">
      <c r="A38" s="8" t="inlineStr">
        <is>
          <t>TC-034</t>
        </is>
      </c>
      <c r="B38" s="8" t="inlineStr">
        <is>
          <t>Customer 360, data enrichment and MDM</t>
        </is>
      </c>
      <c r="C38" s="8" t="inlineStr">
        <is>
          <t>Conflicting phones raise a DQ issue</t>
        </is>
      </c>
      <c r="D38" s="8" t="inlineStr">
        <is>
          <t>Two sources, same plate, different phones</t>
        </is>
      </c>
      <c r="E38" s="8" t="inlineStr"/>
      <c r="F38" s="8" t="inlineStr">
        <is>
          <t>DQ issue conflicting_phone open</t>
        </is>
      </c>
      <c r="G38" s="8" t="inlineStr">
        <is>
          <t>As expected. Evidence: test/integration/journeys.test.js (6/6 passed)</t>
        </is>
      </c>
      <c r="H38" s="8" t="inlineStr">
        <is>
          <t>Pass</t>
        </is>
      </c>
      <c r="I38" s="8" t="inlineStr">
        <is>
          <t>Int</t>
        </is>
      </c>
      <c r="J38" s="8" t="inlineStr">
        <is>
          <t>P2</t>
        </is>
      </c>
      <c r="K38" s="8" t="inlineStr">
        <is>
          <t>integration/journeys</t>
        </is>
      </c>
      <c r="L38" s="8" t="inlineStr">
        <is>
          <t>—</t>
        </is>
      </c>
      <c r="M38" s="8" t="inlineStr">
        <is>
          <t>2026-10-08</t>
        </is>
      </c>
      <c r="N38" s="8" t="inlineStr">
        <is>
          <t>Automated (CI)</t>
        </is>
      </c>
      <c r="O38" s="8" t="inlineStr">
        <is>
          <t>CI (Node 22 / PostgreSQL 16)</t>
        </is>
      </c>
    </row>
    <row r="39">
      <c r="A39" s="8" t="inlineStr">
        <is>
          <t>TC-035</t>
        </is>
      </c>
      <c r="B39" s="8" t="inlineStr">
        <is>
          <t>Customer 360, data enrichment and MDM</t>
        </is>
      </c>
      <c r="C39" s="8" t="inlineStr">
        <is>
          <t>Customer-declared expiry survives rebuild</t>
        </is>
      </c>
      <c r="D39" s="8" t="inlineStr">
        <is>
          <t>Customer declared expiry. Re-ingest an older partner record</t>
        </is>
      </c>
      <c r="E39" s="8" t="inlineStr"/>
      <c r="F39" s="8" t="inlineStr">
        <is>
          <t>Profile keeps the customer-declared date</t>
        </is>
      </c>
      <c r="G39" s="8" t="inlineStr">
        <is>
          <t>As expected. Evidence: test/integration/journeys.test.js (6/6 passed)</t>
        </is>
      </c>
      <c r="H39" s="8" t="inlineStr">
        <is>
          <t>Pass</t>
        </is>
      </c>
      <c r="I39" s="8" t="inlineStr">
        <is>
          <t>Int</t>
        </is>
      </c>
      <c r="J39" s="8" t="inlineStr">
        <is>
          <t>P1</t>
        </is>
      </c>
      <c r="K39" s="8" t="inlineStr">
        <is>
          <t>integration/journeys</t>
        </is>
      </c>
      <c r="L39" s="8" t="inlineStr">
        <is>
          <t>—</t>
        </is>
      </c>
      <c r="M39" s="8" t="inlineStr">
        <is>
          <t>2026-10-08</t>
        </is>
      </c>
      <c r="N39" s="8" t="inlineStr">
        <is>
          <t>Automated (CI)</t>
        </is>
      </c>
      <c r="O39" s="8" t="inlineStr">
        <is>
          <t>CI (Node 22 / PostgreSQL 16)</t>
        </is>
      </c>
    </row>
    <row r="40">
      <c r="A40" s="8" t="inlineStr">
        <is>
          <t>TC-036</t>
        </is>
      </c>
      <c r="B40" s="8" t="inlineStr">
        <is>
          <t>Customer 360, data enrichment and MDM</t>
        </is>
      </c>
      <c r="C40" s="8" t="inlineStr">
        <is>
          <t>Erased profiles are not re-identified</t>
        </is>
      </c>
      <c r="D40" s="8" t="inlineStr">
        <is>
          <t>Profile erased (TC-107). Ingest a new record with name and phone</t>
        </is>
      </c>
      <c r="E40" s="8" t="inlineStr"/>
      <c r="F40" s="8" t="inlineStr">
        <is>
          <t>Profile stays anonymised with no name or phone</t>
        </is>
      </c>
      <c r="G40" s="8" t="inlineStr">
        <is>
          <t>As expected. Evidence: test/integration/governance.test.js (9/9 passed)</t>
        </is>
      </c>
      <c r="H40" s="8" t="inlineStr">
        <is>
          <t>Pass</t>
        </is>
      </c>
      <c r="I40" s="8" t="inlineStr">
        <is>
          <t>Int</t>
        </is>
      </c>
      <c r="J40" s="8" t="inlineStr">
        <is>
          <t>P1</t>
        </is>
      </c>
      <c r="K40" s="8" t="inlineStr">
        <is>
          <t>integration/governance</t>
        </is>
      </c>
      <c r="L40" s="8" t="inlineStr">
        <is>
          <t>—</t>
        </is>
      </c>
      <c r="M40" s="8" t="inlineStr">
        <is>
          <t>2026-10-08</t>
        </is>
      </c>
      <c r="N40" s="8" t="inlineStr">
        <is>
          <t>Automated (CI)</t>
        </is>
      </c>
      <c r="O40" s="8" t="inlineStr">
        <is>
          <t>CI (Node 22 / PostgreSQL 16)</t>
        </is>
      </c>
    </row>
    <row r="41">
      <c r="A41" s="8" t="inlineStr">
        <is>
          <t>TC-037</t>
        </is>
      </c>
      <c r="B41" s="8" t="inlineStr">
        <is>
          <t>Customer 360, data enrichment and MDM</t>
        </is>
      </c>
      <c r="C41" s="8" t="inlineStr">
        <is>
          <t>Data steward corrects an expiry</t>
        </is>
      </c>
      <c r="D41" s="8" t="inlineStr">
        <is>
          <t>steward (MFA) corrects with evidence; then without evidence</t>
        </is>
      </c>
      <c r="E41" s="8" t="inlineStr"/>
      <c r="F41" s="8" t="inlineStr">
        <is>
          <t>200, audit profile.expiry_corrected, lead recomputed, confidence 0.9. Without evidence: 400. Regional stewards limited by region</t>
        </is>
      </c>
      <c r="G41" s="8" t="inlineStr">
        <is>
          <t>As expected. Evidence: test/api/api.test.js (12/12 passed); test/api/consoleWorkflows.test.js (7/7 passed); test/api/salesConsole.test.js (4/4 passed)</t>
        </is>
      </c>
      <c r="H41" s="8" t="inlineStr">
        <is>
          <t>Pass</t>
        </is>
      </c>
      <c r="I41" s="8" t="inlineStr">
        <is>
          <t>API</t>
        </is>
      </c>
      <c r="J41" s="8" t="inlineStr">
        <is>
          <t>P1</t>
        </is>
      </c>
      <c r="K41" s="8" t="inlineStr">
        <is>
          <t>api</t>
        </is>
      </c>
      <c r="L41" s="8" t="inlineStr">
        <is>
          <t>—</t>
        </is>
      </c>
      <c r="M41" s="8" t="inlineStr">
        <is>
          <t>2026-10-08</t>
        </is>
      </c>
      <c r="N41" s="8" t="inlineStr">
        <is>
          <t>Automated (CI)</t>
        </is>
      </c>
      <c r="O41" s="8" t="inlineStr">
        <is>
          <t>CI (Node 22 / PostgreSQL 16)</t>
        </is>
      </c>
    </row>
    <row r="42">
      <c r="A42" s="8" t="inlineStr">
        <is>
          <t>TC-038</t>
        </is>
      </c>
      <c r="B42" s="8" t="inlineStr">
        <is>
          <t>Customer 360, data enrichment and MDM</t>
        </is>
      </c>
      <c r="C42" s="8" t="inlineStr">
        <is>
          <t>DQ issue lifecycle</t>
        </is>
      </c>
      <c r="D42" s="8" t="inlineStr">
        <is>
          <t>Open invalid_plate issue. Resolve it; re-ingest the same bad record</t>
        </is>
      </c>
      <c r="E42" s="8" t="inlineStr"/>
      <c r="F42" s="8" t="inlineStr">
        <is>
          <t>Status resolved with resolver. Re-ingest reopens it</t>
        </is>
      </c>
      <c r="G42" s="8" t="inlineStr">
        <is>
          <t>As expected. Evidence: test/api/api.test.js (12/12 passed); test/api/consoleWorkflows.test.js (7/7 passed); test/api/salesConsole.test.js (4/4 passed)</t>
        </is>
      </c>
      <c r="H42" s="8" t="inlineStr">
        <is>
          <t>Pass</t>
        </is>
      </c>
      <c r="I42" s="8" t="inlineStr">
        <is>
          <t>API</t>
        </is>
      </c>
      <c r="J42" s="8" t="inlineStr">
        <is>
          <t>P2</t>
        </is>
      </c>
      <c r="K42" s="8" t="inlineStr">
        <is>
          <t>api</t>
        </is>
      </c>
      <c r="L42" s="8" t="inlineStr">
        <is>
          <t>—</t>
        </is>
      </c>
      <c r="M42" s="8" t="inlineStr">
        <is>
          <t>2026-10-08</t>
        </is>
      </c>
      <c r="N42" s="8" t="inlineStr">
        <is>
          <t>Automated (CI)</t>
        </is>
      </c>
      <c r="O42" s="8" t="inlineStr">
        <is>
          <t>CI (Node 22 / PostgreSQL 16)</t>
        </is>
      </c>
    </row>
    <row r="43">
      <c r="A43" s="8" t="inlineStr">
        <is>
          <t>TC-039</t>
        </is>
      </c>
      <c r="B43" s="8" t="inlineStr">
        <is>
          <t>Customer 360, data enrichment and MDM</t>
        </is>
      </c>
      <c r="C43" s="8" t="inlineStr">
        <is>
          <t>Ingest bounds and allow-list</t>
        </is>
      </c>
      <c r="D43" s="8" t="inlineStr">
        <is>
          <t>Batch of 5,001 records; extra field isAdmin; record without recordId</t>
        </is>
      </c>
      <c r="E43" s="8" t="inlineStr"/>
      <c r="F43" s="8" t="inlineStr">
        <is>
          <t>400 "at most 5000 items". Extra field not stored. 400 recordId required</t>
        </is>
      </c>
      <c r="G43" s="8" t="inlineStr">
        <is>
          <t>As expected. Evidence: test/api/api.test.js (12/12 passed); test/api/consoleWorkflows.test.js (7/7 passed); test/api/salesConsole.test.js (4/4 passed)</t>
        </is>
      </c>
      <c r="H43" s="8" t="inlineStr">
        <is>
          <t>Pass</t>
        </is>
      </c>
      <c r="I43" s="8" t="inlineStr">
        <is>
          <t>API</t>
        </is>
      </c>
      <c r="J43" s="8" t="inlineStr">
        <is>
          <t>P2</t>
        </is>
      </c>
      <c r="K43" s="8" t="inlineStr">
        <is>
          <t>api</t>
        </is>
      </c>
      <c r="L43" s="8" t="inlineStr">
        <is>
          <t>—</t>
        </is>
      </c>
      <c r="M43" s="8" t="inlineStr">
        <is>
          <t>2026-10-08</t>
        </is>
      </c>
      <c r="N43" s="8" t="inlineStr">
        <is>
          <t>Automated (CI)</t>
        </is>
      </c>
      <c r="O43" s="8" t="inlineStr">
        <is>
          <t>CI (Node 22 / PostgreSQL 16)</t>
        </is>
      </c>
    </row>
    <row r="44">
      <c r="A44" s="8" t="inlineStr">
        <is>
          <t>TC-040</t>
        </is>
      </c>
      <c r="B44" s="8" t="inlineStr">
        <is>
          <t>Customer 360, data enrichment and MDM</t>
        </is>
      </c>
      <c r="C44" s="8" t="inlineStr">
        <is>
          <t>Lineage view</t>
        </is>
      </c>
      <c r="D44" s="8" t="inlineStr">
        <is>
          <t>Profile built from two sources. GET /api/customers/:id/lineage</t>
        </is>
      </c>
      <c r="E44" s="8" t="inlineStr"/>
      <c r="F44" s="8" t="inlineStr">
        <is>
          <t>Field sources and confidence shown; source record IDs; at most 10 recent batches</t>
        </is>
      </c>
      <c r="G44" s="8" t="inlineStr">
        <is>
          <t>As expected. Evidence: test/api/api.test.js (12/12 passed); test/api/consoleWorkflows.test.js (7/7 passed); test/api/salesConsole.test.js (4/4 passed)</t>
        </is>
      </c>
      <c r="H44" s="8" t="inlineStr">
        <is>
          <t>Pass</t>
        </is>
      </c>
      <c r="I44" s="8" t="inlineStr">
        <is>
          <t>API</t>
        </is>
      </c>
      <c r="J44" s="8" t="inlineStr">
        <is>
          <t>P3</t>
        </is>
      </c>
      <c r="K44" s="8" t="inlineStr">
        <is>
          <t>api</t>
        </is>
      </c>
      <c r="L44" s="8" t="inlineStr">
        <is>
          <t>—</t>
        </is>
      </c>
      <c r="M44" s="8" t="inlineStr">
        <is>
          <t>2026-10-08</t>
        </is>
      </c>
      <c r="N44" s="8" t="inlineStr">
        <is>
          <t>Automated (CI)</t>
        </is>
      </c>
      <c r="O44" s="8" t="inlineStr">
        <is>
          <t>CI (Node 22 / PostgreSQL 16)</t>
        </is>
      </c>
    </row>
    <row r="45">
      <c r="A45" s="8" t="inlineStr">
        <is>
          <t>TC-041</t>
        </is>
      </c>
      <c r="B45" s="8" t="inlineStr">
        <is>
          <t>Lead scoring, next best action and benefits</t>
        </is>
      </c>
      <c r="C45" s="8" t="inlineStr">
        <is>
          <t>Benefits pending legal review never reach customers</t>
        </is>
      </c>
      <c r="D45" s="8" t="inlineStr">
        <is>
          <t>Loyalty points pending legal review; eligible profile. Customer home; staff view</t>
        </is>
      </c>
      <c r="E45" s="8" t="inlineStr"/>
      <c r="F45" s="8" t="inlineStr">
        <is>
          <t>Customer list excludes loyalty points and unavailable items (auto-renew, fleet dashboard), at most 3 shown. Staff see them flagged</t>
        </is>
      </c>
      <c r="G45" s="8" t="inlineStr">
        <is>
          <t>As expected. Evidence: test/api/api.test.js (12/12 passed); test/api/consoleWorkflows.test.js (7/7 passed); test/api/salesConsole.test.js (4/4 passed)</t>
        </is>
      </c>
      <c r="H45" s="8" t="inlineStr">
        <is>
          <t>Pass</t>
        </is>
      </c>
      <c r="I45" s="8" t="inlineStr">
        <is>
          <t>API</t>
        </is>
      </c>
      <c r="J45" s="8" t="inlineStr">
        <is>
          <t>P1</t>
        </is>
      </c>
      <c r="K45" s="8" t="inlineStr">
        <is>
          <t>api</t>
        </is>
      </c>
      <c r="L45" s="8" t="inlineStr">
        <is>
          <t>—</t>
        </is>
      </c>
      <c r="M45" s="8" t="inlineStr">
        <is>
          <t>2026-10-08</t>
        </is>
      </c>
      <c r="N45" s="8" t="inlineStr">
        <is>
          <t>Automated (CI)</t>
        </is>
      </c>
      <c r="O45" s="8" t="inlineStr">
        <is>
          <t>CI (Node 22 / PostgreSQL 16)</t>
        </is>
      </c>
    </row>
    <row r="46">
      <c r="A46" s="8" t="inlineStr">
        <is>
          <t>TC-042</t>
        </is>
      </c>
      <c r="B46" s="8" t="inlineStr">
        <is>
          <t>Lead scoring, next best action and benefits</t>
        </is>
      </c>
      <c r="C46" s="8" t="inlineStr">
        <is>
          <t>Explainable score and tiers</t>
        </is>
      </c>
      <c r="D46" s="8" t="inlineStr">
        <is>
          <t>Fixed profile facts. Evaluate the lead</t>
        </is>
      </c>
      <c r="E46" s="8" t="inlineStr"/>
      <c r="F46" s="8" t="inlineStr">
        <is>
          <t>Score = round(Σ weight × value × (0.6 + 0.4 × expiry confidence)). Hot ≥ 70, warm ≥ 45, else nurture. Reasons sorted with text</t>
        </is>
      </c>
      <c r="G46" s="8" t="inlineStr">
        <is>
          <t>As expected. Evidence: test/unit/rulesDomain.test.js (12/12 passed)</t>
        </is>
      </c>
      <c r="H46" s="8" t="inlineStr">
        <is>
          <t>Pass</t>
        </is>
      </c>
      <c r="I46" s="8" t="inlineStr">
        <is>
          <t>Unit</t>
        </is>
      </c>
      <c r="J46" s="8" t="inlineStr">
        <is>
          <t>P1</t>
        </is>
      </c>
      <c r="K46" s="8" t="inlineStr">
        <is>
          <t>unit/rulesDomain</t>
        </is>
      </c>
      <c r="L46" s="8" t="inlineStr">
        <is>
          <t>—</t>
        </is>
      </c>
      <c r="M46" s="8" t="inlineStr">
        <is>
          <t>2026-10-08</t>
        </is>
      </c>
      <c r="N46" s="8" t="inlineStr">
        <is>
          <t>Automated (CI)</t>
        </is>
      </c>
      <c r="O46" s="8" t="inlineStr">
        <is>
          <t>CI (Node 22 / PostgreSQL 16)</t>
        </is>
      </c>
    </row>
    <row r="47">
      <c r="A47" s="8" t="inlineStr">
        <is>
          <t>TC-043</t>
        </is>
      </c>
      <c r="B47" s="8" t="inlineStr">
        <is>
          <t>Lead scoring, next best action and benefits</t>
        </is>
      </c>
      <c r="C47" s="8" t="inlineStr">
        <is>
          <t>Fix data before selling</t>
        </is>
      </c>
      <c r="D47" s="8" t="inlineStr">
        <is>
          <t>Expiry confidence below 0.5. Recompute</t>
        </is>
      </c>
      <c r="E47" s="8" t="inlineStr"/>
      <c r="F47" s="8" t="inlineStr">
        <is>
          <t>Next best action: confirm the expiry date (rule fix_data)</t>
        </is>
      </c>
      <c r="G47" s="8" t="inlineStr">
        <is>
          <t>As expected. Evidence: test/unit/rulesDomain.test.js (12/12 passed)</t>
        </is>
      </c>
      <c r="H47" s="8" t="inlineStr">
        <is>
          <t>Pass</t>
        </is>
      </c>
      <c r="I47" s="8" t="inlineStr">
        <is>
          <t>Unit</t>
        </is>
      </c>
      <c r="J47" s="8" t="inlineStr">
        <is>
          <t>P1</t>
        </is>
      </c>
      <c r="K47" s="8" t="inlineStr">
        <is>
          <t>unit/rulesDomain</t>
        </is>
      </c>
      <c r="L47" s="8" t="inlineStr">
        <is>
          <t>—</t>
        </is>
      </c>
      <c r="M47" s="8" t="inlineStr">
        <is>
          <t>2026-10-08</t>
        </is>
      </c>
      <c r="N47" s="8" t="inlineStr">
        <is>
          <t>Automated (CI)</t>
        </is>
      </c>
      <c r="O47" s="8" t="inlineStr">
        <is>
          <t>CI (Node 22 / PostgreSQL 16)</t>
        </is>
      </c>
    </row>
    <row r="48">
      <c r="A48" s="8" t="inlineStr">
        <is>
          <t>TC-044</t>
        </is>
      </c>
      <c r="B48" s="8" t="inlineStr">
        <is>
          <t>Lead scoring, next best action and benefits</t>
        </is>
      </c>
      <c r="C48" s="8" t="inlineStr">
        <is>
          <t>Do-not-contact suppresses everything</t>
        </is>
      </c>
      <c r="D48" s="8" t="inlineStr">
        <is>
          <t>Customer on the DNC list. Recompute</t>
        </is>
      </c>
      <c r="E48" s="8" t="inlineStr"/>
      <c r="F48" s="8" t="inlineStr">
        <is>
          <t>Action suppress; no touchpoints planned</t>
        </is>
      </c>
      <c r="G48" s="8" t="inlineStr">
        <is>
          <t>As expected. Evidence: test/integration/journeys.test.js (6/6 passed)</t>
        </is>
      </c>
      <c r="H48" s="8" t="inlineStr">
        <is>
          <t>Pass</t>
        </is>
      </c>
      <c r="I48" s="8" t="inlineStr">
        <is>
          <t>Int</t>
        </is>
      </c>
      <c r="J48" s="8" t="inlineStr">
        <is>
          <t>P1</t>
        </is>
      </c>
      <c r="K48" s="8" t="inlineStr">
        <is>
          <t>integration/journeys</t>
        </is>
      </c>
      <c r="L48" s="8" t="inlineStr">
        <is>
          <t>—</t>
        </is>
      </c>
      <c r="M48" s="8" t="inlineStr">
        <is>
          <t>2026-10-08</t>
        </is>
      </c>
      <c r="N48" s="8" t="inlineStr">
        <is>
          <t>Automated (CI)</t>
        </is>
      </c>
      <c r="O48" s="8" t="inlineStr">
        <is>
          <t>CI (Node 22 / PostgreSQL 16)</t>
        </is>
      </c>
    </row>
    <row r="49">
      <c r="A49" s="8" t="inlineStr">
        <is>
          <t>TC-045</t>
        </is>
      </c>
      <c r="B49" s="8" t="inlineStr">
        <is>
          <t>Lead scoring, next best action and benefits</t>
        </is>
      </c>
      <c r="C49" s="8" t="inlineStr">
        <is>
          <t>Company vehicles routed to B2B</t>
        </is>
      </c>
      <c r="D49" s="8" t="inlineStr">
        <is>
          <t>Company-owned vehicle. Recompute</t>
        </is>
      </c>
      <c r="E49" s="8" t="inlineStr"/>
      <c r="F49" s="8" t="inlineStr">
        <is>
          <t>Action route_b2b; excluded from voice campaigns</t>
        </is>
      </c>
      <c r="G49" s="8" t="inlineStr">
        <is>
          <t>As expected. Evidence: test/unit/rulesDomain.test.js (12/12 passed)</t>
        </is>
      </c>
      <c r="H49" s="8" t="inlineStr">
        <is>
          <t>Pass</t>
        </is>
      </c>
      <c r="I49" s="8" t="inlineStr">
        <is>
          <t>Unit</t>
        </is>
      </c>
      <c r="J49" s="8" t="inlineStr">
        <is>
          <t>P2</t>
        </is>
      </c>
      <c r="K49" s="8" t="inlineStr">
        <is>
          <t>unit/rulesDomain</t>
        </is>
      </c>
      <c r="L49" s="8" t="inlineStr">
        <is>
          <t>—</t>
        </is>
      </c>
      <c r="M49" s="8" t="inlineStr">
        <is>
          <t>2026-10-08</t>
        </is>
      </c>
      <c r="N49" s="8" t="inlineStr">
        <is>
          <t>Automated (CI)</t>
        </is>
      </c>
      <c r="O49" s="8" t="inlineStr">
        <is>
          <t>CI (Node 22 / PostgreSQL 16)</t>
        </is>
      </c>
    </row>
    <row r="50">
      <c r="A50" s="8" t="inlineStr">
        <is>
          <t>TC-046</t>
        </is>
      </c>
      <c r="B50" s="8" t="inlineStr">
        <is>
          <t>Lead scoring, next best action and benefits</t>
        </is>
      </c>
      <c r="C50" s="8" t="inlineStr">
        <is>
          <t>TASCO-insured vehicles leave journeys</t>
        </is>
      </c>
      <c r="D50" s="8" t="inlineStr">
        <is>
          <t>Active TASCO TNDS policy beyond today. Recompute</t>
        </is>
      </c>
      <c r="E50" s="8" t="inlineStr"/>
      <c r="F50" s="8" t="inlineStr">
        <is>
          <t>No journey; action insured; scheduled touchpoints deleted</t>
        </is>
      </c>
      <c r="G50" s="8" t="inlineStr">
        <is>
          <t>As expected. Evidence: test/integration/journeys.test.js (6/6 passed)</t>
        </is>
      </c>
      <c r="H50" s="8" t="inlineStr">
        <is>
          <t>Pass</t>
        </is>
      </c>
      <c r="I50" s="8" t="inlineStr">
        <is>
          <t>Int</t>
        </is>
      </c>
      <c r="J50" s="8" t="inlineStr">
        <is>
          <t>P1</t>
        </is>
      </c>
      <c r="K50" s="8" t="inlineStr">
        <is>
          <t>integration/journeys</t>
        </is>
      </c>
      <c r="L50" s="8" t="inlineStr">
        <is>
          <t>—</t>
        </is>
      </c>
      <c r="M50" s="8" t="inlineStr">
        <is>
          <t>2026-10-08</t>
        </is>
      </c>
      <c r="N50" s="8" t="inlineStr">
        <is>
          <t>Automated (CI)</t>
        </is>
      </c>
      <c r="O50" s="8" t="inlineStr">
        <is>
          <t>CI (Node 22 / PostgreSQL 16)</t>
        </is>
      </c>
    </row>
    <row r="51">
      <c r="A51" s="8" t="inlineStr">
        <is>
          <t>TC-047</t>
        </is>
      </c>
      <c r="B51" s="8" t="inlineStr">
        <is>
          <t>Lead scoring, next best action and benefits</t>
        </is>
      </c>
      <c r="C51" s="8" t="inlineStr">
        <is>
          <t>Journey priority</t>
        </is>
      </c>
      <c r="D51" s="8" t="inlineStr">
        <is>
          <t>Lapsed 10 days, confidence ≥ 0.5</t>
        </is>
      </c>
      <c r="E51" s="8" t="inlineStr"/>
      <c r="F51" s="8" t="inlineStr">
        <is>
          <t>Lapsed journey chosen over renewal and conquest</t>
        </is>
      </c>
      <c r="G51" s="8" t="inlineStr">
        <is>
          <t>As expected. Evidence: test/unit/rulesDomain.test.js (12/12 passed)</t>
        </is>
      </c>
      <c r="H51" s="8" t="inlineStr">
        <is>
          <t>Pass</t>
        </is>
      </c>
      <c r="I51" s="8" t="inlineStr">
        <is>
          <t>Unit</t>
        </is>
      </c>
      <c r="J51" s="8" t="inlineStr">
        <is>
          <t>P2</t>
        </is>
      </c>
      <c r="K51" s="8" t="inlineStr">
        <is>
          <t>unit/rulesDomain</t>
        </is>
      </c>
      <c r="L51" s="8" t="inlineStr">
        <is>
          <t>—</t>
        </is>
      </c>
      <c r="M51" s="8" t="inlineStr">
        <is>
          <t>2026-10-08</t>
        </is>
      </c>
      <c r="N51" s="8" t="inlineStr">
        <is>
          <t>Automated (CI)</t>
        </is>
      </c>
      <c r="O51" s="8" t="inlineStr">
        <is>
          <t>CI (Node 22 / PostgreSQL 16)</t>
        </is>
      </c>
    </row>
    <row r="52">
      <c r="A52" s="8" t="inlineStr">
        <is>
          <t>TC-048</t>
        </is>
      </c>
      <c r="B52" s="8" t="inlineStr">
        <is>
          <t>Lead scoring, next best action and benefits</t>
        </is>
      </c>
      <c r="C52" s="8" t="inlineStr">
        <is>
          <t>Touchpoints re-planned only on change</t>
        </is>
      </c>
      <c r="D52" s="8" t="inlineStr">
        <is>
          <t>Recompute twice with no change; then change the tier</t>
        </is>
      </c>
      <c r="E52" s="8" t="inlineStr"/>
      <c r="F52" s="8" t="inlineStr">
        <is>
          <t>No duplicates. A tier change re-plans scheduled touchpoints</t>
        </is>
      </c>
      <c r="G52" s="8" t="inlineStr">
        <is>
          <t>As expected. Evidence: test/integration/journeys.test.js (6/6 passed)</t>
        </is>
      </c>
      <c r="H52" s="8" t="inlineStr">
        <is>
          <t>Pass</t>
        </is>
      </c>
      <c r="I52" s="8" t="inlineStr">
        <is>
          <t>Int</t>
        </is>
      </c>
      <c r="J52" s="8" t="inlineStr">
        <is>
          <t>P2</t>
        </is>
      </c>
      <c r="K52" s="8" t="inlineStr">
        <is>
          <t>integration/journeys</t>
        </is>
      </c>
      <c r="L52" s="8" t="inlineStr">
        <is>
          <t>—</t>
        </is>
      </c>
      <c r="M52" s="8" t="inlineStr">
        <is>
          <t>2026-10-08</t>
        </is>
      </c>
      <c r="N52" s="8" t="inlineStr">
        <is>
          <t>Automated (CI)</t>
        </is>
      </c>
      <c r="O52" s="8" t="inlineStr">
        <is>
          <t>CI (Node 22 / PostgreSQL 16)</t>
        </is>
      </c>
    </row>
    <row r="53">
      <c r="A53" s="8" t="inlineStr">
        <is>
          <t>TC-049</t>
        </is>
      </c>
      <c r="B53" s="8" t="inlineStr">
        <is>
          <t>Lead scoring, next best action and benefits</t>
        </is>
      </c>
      <c r="C53" s="8" t="inlineStr">
        <is>
          <t>Lead queue filters and bounds</t>
        </is>
      </c>
      <c r="D53" s="8" t="inlineStr">
        <is>
          <t>campaign. Filter hot, score ≥ 70, sort by expiry, limit 500; limit 501; tier cold</t>
        </is>
      </c>
      <c r="E53" s="8" t="inlineStr"/>
      <c r="F53" s="8" t="inlineStr">
        <is>
          <t>200 filtered and sorted. 400 for limit above 500. 400 for an unknown tier</t>
        </is>
      </c>
      <c r="G53" s="8" t="inlineStr">
        <is>
          <t>As expected. Evidence: test/api/api.test.js (12/12 passed); test/api/consoleWorkflows.test.js (7/7 passed); test/api/salesConsole.test.js (4/4 passed)</t>
        </is>
      </c>
      <c r="H53" s="8" t="inlineStr">
        <is>
          <t>Pass</t>
        </is>
      </c>
      <c r="I53" s="8" t="inlineStr">
        <is>
          <t>API</t>
        </is>
      </c>
      <c r="J53" s="8" t="inlineStr">
        <is>
          <t>P2</t>
        </is>
      </c>
      <c r="K53" s="8" t="inlineStr">
        <is>
          <t>api</t>
        </is>
      </c>
      <c r="L53" s="8" t="inlineStr">
        <is>
          <t>—</t>
        </is>
      </c>
      <c r="M53" s="8" t="inlineStr">
        <is>
          <t>2026-10-08</t>
        </is>
      </c>
      <c r="N53" s="8" t="inlineStr">
        <is>
          <t>Automated (CI)</t>
        </is>
      </c>
      <c r="O53" s="8" t="inlineStr">
        <is>
          <t>CI (Node 22 / PostgreSQL 16)</t>
        </is>
      </c>
    </row>
    <row r="54">
      <c r="A54" s="8" t="inlineStr">
        <is>
          <t>TC-050</t>
        </is>
      </c>
      <c r="B54" s="8" t="inlineStr">
        <is>
          <t>Journeys and contact compliance</t>
        </is>
      </c>
      <c r="C54" s="8" t="inlineStr">
        <is>
          <t>No marketing before 08:00; blocked touchpoints deferred</t>
        </is>
      </c>
      <c r="D54" s="8" t="inlineStr">
        <is>
          <t>Due marketing touchpoint, consent given, demo clock. Run at 07:59, then at 10:00</t>
        </is>
      </c>
      <c r="E54" s="8" t="inlineStr"/>
      <c r="F54" s="8" t="inlineStr">
        <is>
          <t>First run: nothing sent, touchpoint stays scheduled and counts as deferred. Second run: done (KI-05 fixed)</t>
        </is>
      </c>
      <c r="G54" s="8" t="inlineStr">
        <is>
          <t>As expected. Evidence: test/unit/rulesDomain.test.js (12/12 passed); test/integration/journeys.test.js (6/6 passed) (fix for KI-05 verified)</t>
        </is>
      </c>
      <c r="H54" s="8" t="inlineStr">
        <is>
          <t>Pass</t>
        </is>
      </c>
      <c r="I54" s="8" t="inlineStr">
        <is>
          <t>Int</t>
        </is>
      </c>
      <c r="J54" s="8" t="inlineStr">
        <is>
          <t>P1</t>
        </is>
      </c>
      <c r="K54" s="8" t="inlineStr">
        <is>
          <t>unit/rulesDomain, integration/journeys</t>
        </is>
      </c>
      <c r="L54" s="8" t="inlineStr">
        <is>
          <t>KI-05</t>
        </is>
      </c>
      <c r="M54" s="8" t="inlineStr">
        <is>
          <t>2026-10-08</t>
        </is>
      </c>
      <c r="N54" s="8" t="inlineStr">
        <is>
          <t>Automated (CI)</t>
        </is>
      </c>
      <c r="O54" s="8" t="inlineStr">
        <is>
          <t>CI (Node 22 / PostgreSQL 16)</t>
        </is>
      </c>
    </row>
    <row r="55">
      <c r="A55" s="8" t="inlineStr">
        <is>
          <t>TC-051</t>
        </is>
      </c>
      <c r="B55" s="8" t="inlineStr">
        <is>
          <t>Journeys and contact compliance</t>
        </is>
      </c>
      <c r="C55" s="8" t="inlineStr">
        <is>
          <t>Window opens at 08:00</t>
        </is>
      </c>
      <c r="D55" s="8" t="inlineStr">
        <is>
          <t>Runs at 08:00 and 19:59 on separate profiles</t>
        </is>
      </c>
      <c r="E55" s="8" t="inlineStr"/>
      <c r="F55" s="8" t="inlineStr">
        <is>
          <t>Sent both times</t>
        </is>
      </c>
      <c r="G55" s="8" t="inlineStr">
        <is>
          <t>As expected. Evidence: test/unit/rulesDomain.test.js (12/12 passed)</t>
        </is>
      </c>
      <c r="H55" s="8" t="inlineStr">
        <is>
          <t>Pass</t>
        </is>
      </c>
      <c r="I55" s="8" t="inlineStr">
        <is>
          <t>Unit</t>
        </is>
      </c>
      <c r="J55" s="8" t="inlineStr">
        <is>
          <t>P1</t>
        </is>
      </c>
      <c r="K55" s="8" t="inlineStr">
        <is>
          <t>unit/rulesDomain</t>
        </is>
      </c>
      <c r="L55" s="8" t="inlineStr">
        <is>
          <t>—</t>
        </is>
      </c>
      <c r="M55" s="8" t="inlineStr">
        <is>
          <t>2026-10-08</t>
        </is>
      </c>
      <c r="N55" s="8" t="inlineStr">
        <is>
          <t>Automated (CI)</t>
        </is>
      </c>
      <c r="O55" s="8" t="inlineStr">
        <is>
          <t>CI (Node 22 / PostgreSQL 16)</t>
        </is>
      </c>
    </row>
    <row r="56">
      <c r="A56" s="8" t="inlineStr">
        <is>
          <t>TC-052</t>
        </is>
      </c>
      <c r="B56" s="8" t="inlineStr">
        <is>
          <t>Journeys and contact compliance</t>
        </is>
      </c>
      <c r="C56" s="8" t="inlineStr">
        <is>
          <t>No marketing at or after 20:00</t>
        </is>
      </c>
      <c r="D56" s="8" t="inlineStr">
        <is>
          <t>Run at 20:00</t>
        </is>
      </c>
      <c r="E56" s="8" t="inlineStr"/>
      <c r="F56" s="8" t="inlineStr">
        <is>
          <t>Blocked, "outside allowed contact hours"</t>
        </is>
      </c>
      <c r="G56" s="8" t="inlineStr">
        <is>
          <t>As expected. Evidence: test/unit/rulesDomain.test.js (12/12 passed)</t>
        </is>
      </c>
      <c r="H56" s="8" t="inlineStr">
        <is>
          <t>Pass</t>
        </is>
      </c>
      <c r="I56" s="8" t="inlineStr">
        <is>
          <t>Unit</t>
        </is>
      </c>
      <c r="J56" s="8" t="inlineStr">
        <is>
          <t>P1</t>
        </is>
      </c>
      <c r="K56" s="8" t="inlineStr">
        <is>
          <t>unit/rulesDomain</t>
        </is>
      </c>
      <c r="L56" s="8" t="inlineStr">
        <is>
          <t>—</t>
        </is>
      </c>
      <c r="M56" s="8" t="inlineStr">
        <is>
          <t>2026-10-08</t>
        </is>
      </c>
      <c r="N56" s="8" t="inlineStr">
        <is>
          <t>Automated (CI)</t>
        </is>
      </c>
      <c r="O56" s="8" t="inlineStr">
        <is>
          <t>CI (Node 22 / PostgreSQL 16)</t>
        </is>
      </c>
    </row>
    <row r="57">
      <c r="A57" s="8" t="inlineStr">
        <is>
          <t>TC-053</t>
        </is>
      </c>
      <c r="B57" s="8" t="inlineStr">
        <is>
          <t>Journeys and contact compliance</t>
        </is>
      </c>
      <c r="C57" s="8" t="inlineStr">
        <is>
          <t>Marketing needs marketing consent</t>
        </is>
      </c>
      <c r="D57" s="8" t="inlineStr">
        <is>
          <t>Marketing consent off. Check contact</t>
        </is>
      </c>
      <c r="E57" s="8" t="inlineStr"/>
      <c r="F57" s="8" t="inlineStr">
        <is>
          <t>"no marketing consent"</t>
        </is>
      </c>
      <c r="G57" s="8" t="inlineStr">
        <is>
          <t>As expected. Evidence: test/unit/rulesDomain.test.js (12/12 passed)</t>
        </is>
      </c>
      <c r="H57" s="8" t="inlineStr">
        <is>
          <t>Pass</t>
        </is>
      </c>
      <c r="I57" s="8" t="inlineStr">
        <is>
          <t>Unit</t>
        </is>
      </c>
      <c r="J57" s="8" t="inlineStr">
        <is>
          <t>P1</t>
        </is>
      </c>
      <c r="K57" s="8" t="inlineStr">
        <is>
          <t>unit/rulesDomain</t>
        </is>
      </c>
      <c r="L57" s="8" t="inlineStr">
        <is>
          <t>—</t>
        </is>
      </c>
      <c r="M57" s="8" t="inlineStr">
        <is>
          <t>2026-10-08</t>
        </is>
      </c>
      <c r="N57" s="8" t="inlineStr">
        <is>
          <t>Automated (CI)</t>
        </is>
      </c>
      <c r="O57" s="8" t="inlineStr">
        <is>
          <t>CI (Node 22 / PostgreSQL 16)</t>
        </is>
      </c>
    </row>
    <row r="58">
      <c r="A58" s="8" t="inlineStr">
        <is>
          <t>TC-054</t>
        </is>
      </c>
      <c r="B58" s="8" t="inlineStr">
        <is>
          <t>Journeys and contact compliance</t>
        </is>
      </c>
      <c r="C58" s="8" t="inlineStr">
        <is>
          <t>Calls need call consent</t>
        </is>
      </c>
      <c r="D58" s="8" t="inlineStr">
        <is>
          <t>Call consent off. Check voice bot and telesales</t>
        </is>
      </c>
      <c r="E58" s="8" t="inlineStr"/>
      <c r="F58" s="8" t="inlineStr">
        <is>
          <t>"no call consent"</t>
        </is>
      </c>
      <c r="G58" s="8" t="inlineStr">
        <is>
          <t>As expected. Evidence: test/unit/rulesDomain.test.js (12/12 passed)</t>
        </is>
      </c>
      <c r="H58" s="8" t="inlineStr">
        <is>
          <t>Pass</t>
        </is>
      </c>
      <c r="I58" s="8" t="inlineStr">
        <is>
          <t>Unit</t>
        </is>
      </c>
      <c r="J58" s="8" t="inlineStr">
        <is>
          <t>P1</t>
        </is>
      </c>
      <c r="K58" s="8" t="inlineStr">
        <is>
          <t>unit/rulesDomain</t>
        </is>
      </c>
      <c r="L58" s="8" t="inlineStr">
        <is>
          <t>—</t>
        </is>
      </c>
      <c r="M58" s="8" t="inlineStr">
        <is>
          <t>2026-10-08</t>
        </is>
      </c>
      <c r="N58" s="8" t="inlineStr">
        <is>
          <t>Automated (CI)</t>
        </is>
      </c>
      <c r="O58" s="8" t="inlineStr">
        <is>
          <t>CI (Node 22 / PostgreSQL 16)</t>
        </is>
      </c>
    </row>
    <row r="59">
      <c r="A59" s="8" t="inlineStr">
        <is>
          <t>TC-055</t>
        </is>
      </c>
      <c r="B59" s="8" t="inlineStr">
        <is>
          <t>Journeys and contact compliance</t>
        </is>
      </c>
      <c r="C59" s="8" t="inlineStr">
        <is>
          <t>DNC customer never contacted</t>
        </is>
      </c>
      <c r="D59" s="8" t="inlineStr">
        <is>
          <t>Customer on the DNC list. Service and marketing on every channel; start a voice session</t>
        </is>
      </c>
      <c r="E59" s="8" t="inlineStr"/>
      <c r="F59" s="8" t="inlineStr">
        <is>
          <t>Every channel blocked. Voice session 422 "Customer is on the do-not-contact list"</t>
        </is>
      </c>
      <c r="G59" s="8" t="inlineStr">
        <is>
          <t>As expected. Evidence: test/unit/rulesDomain.test.js (12/12 passed); test/api/api.test.js (12/12 passed); test/api/consoleWorkflows.test.js (7/7 passed); test/api/salesConsole.test.js (4/4 passed)</t>
        </is>
      </c>
      <c r="H59" s="8" t="inlineStr">
        <is>
          <t>Pass</t>
        </is>
      </c>
      <c r="I59" s="8" t="inlineStr">
        <is>
          <t>Int</t>
        </is>
      </c>
      <c r="J59" s="8" t="inlineStr">
        <is>
          <t>P1</t>
        </is>
      </c>
      <c r="K59" s="8" t="inlineStr">
        <is>
          <t>unit/rulesDomain, api</t>
        </is>
      </c>
      <c r="L59" s="8" t="inlineStr">
        <is>
          <t>—</t>
        </is>
      </c>
      <c r="M59" s="8" t="inlineStr">
        <is>
          <t>2026-10-08</t>
        </is>
      </c>
      <c r="N59" s="8" t="inlineStr">
        <is>
          <t>Automated (CI)</t>
        </is>
      </c>
      <c r="O59" s="8" t="inlineStr">
        <is>
          <t>CI (Node 22 / PostgreSQL 16)</t>
        </is>
      </c>
    </row>
    <row r="60">
      <c r="A60" s="8" t="inlineStr">
        <is>
          <t>TC-056</t>
        </is>
      </c>
      <c r="B60" s="8" t="inlineStr">
        <is>
          <t>Journeys and contact compliance</t>
        </is>
      </c>
      <c r="C60" s="8" t="inlineStr">
        <is>
          <t>Daily marketing cap</t>
        </is>
      </c>
      <c r="D60" s="8" t="inlineStr">
        <is>
          <t>One marketing message in the last 24 hours. Next marketing touchpoint</t>
        </is>
      </c>
      <c r="E60" s="8" t="inlineStr"/>
      <c r="F60" s="8" t="inlineStr">
        <is>
          <t>Blocked "daily contact cap reached"</t>
        </is>
      </c>
      <c r="G60" s="8" t="inlineStr">
        <is>
          <t>As expected. Evidence: test/unit/rulesDomain.test.js (12/12 passed)</t>
        </is>
      </c>
      <c r="H60" s="8" t="inlineStr">
        <is>
          <t>Pass</t>
        </is>
      </c>
      <c r="I60" s="8" t="inlineStr">
        <is>
          <t>Unit</t>
        </is>
      </c>
      <c r="J60" s="8" t="inlineStr">
        <is>
          <t>P1</t>
        </is>
      </c>
      <c r="K60" s="8" t="inlineStr">
        <is>
          <t>unit/rulesDomain</t>
        </is>
      </c>
      <c r="L60" s="8" t="inlineStr">
        <is>
          <t>—</t>
        </is>
      </c>
      <c r="M60" s="8" t="inlineStr">
        <is>
          <t>2026-10-08</t>
        </is>
      </c>
      <c r="N60" s="8" t="inlineStr">
        <is>
          <t>Automated (CI)</t>
        </is>
      </c>
      <c r="O60" s="8" t="inlineStr">
        <is>
          <t>CI (Node 22 / PostgreSQL 16)</t>
        </is>
      </c>
    </row>
    <row r="61">
      <c r="A61" s="8" t="inlineStr">
        <is>
          <t>TC-057</t>
        </is>
      </c>
      <c r="B61" s="8" t="inlineStr">
        <is>
          <t>Journeys and contact compliance</t>
        </is>
      </c>
      <c r="C61" s="8" t="inlineStr">
        <is>
          <t>Weekly caps</t>
        </is>
      </c>
      <c r="D61" s="8" t="inlineStr">
        <is>
          <t>Three marketing messages in 7 days; separately two calls</t>
        </is>
      </c>
      <c r="E61" s="8" t="inlineStr"/>
      <c r="F61" s="8" t="inlineStr">
        <is>
          <t>"weekly contact cap reached"; "weekly call cap reached"</t>
        </is>
      </c>
      <c r="G61" s="8" t="inlineStr">
        <is>
          <t>As expected. Evidence: test/unit/rulesDomain.test.js (12/12 passed)</t>
        </is>
      </c>
      <c r="H61" s="8" t="inlineStr">
        <is>
          <t>Pass</t>
        </is>
      </c>
      <c r="I61" s="8" t="inlineStr">
        <is>
          <t>Unit</t>
        </is>
      </c>
      <c r="J61" s="8" t="inlineStr">
        <is>
          <t>P1</t>
        </is>
      </c>
      <c r="K61" s="8" t="inlineStr">
        <is>
          <t>unit/rulesDomain</t>
        </is>
      </c>
      <c r="L61" s="8" t="inlineStr">
        <is>
          <t>—</t>
        </is>
      </c>
      <c r="M61" s="8" t="inlineStr">
        <is>
          <t>2026-10-08</t>
        </is>
      </c>
      <c r="N61" s="8" t="inlineStr">
        <is>
          <t>Automated (CI)</t>
        </is>
      </c>
      <c r="O61" s="8" t="inlineStr">
        <is>
          <t>CI (Node 22 / PostgreSQL 16)</t>
        </is>
      </c>
    </row>
    <row r="62">
      <c r="A62" s="8" t="inlineStr">
        <is>
          <t>TC-058</t>
        </is>
      </c>
      <c r="B62" s="8" t="inlineStr">
        <is>
          <t>Journeys and contact compliance</t>
        </is>
      </c>
      <c r="C62" s="8" t="inlineStr">
        <is>
          <t>Service messages bypass caps and window</t>
        </is>
      </c>
      <c r="D62" s="8" t="inlineStr">
        <is>
          <t>Caps reached, 22:00. Lapsed notice (service)</t>
        </is>
      </c>
      <c r="E62" s="8" t="inlineStr"/>
      <c r="F62" s="8" t="inlineStr">
        <is>
          <t>Allowed; consent and DNC still apply</t>
        </is>
      </c>
      <c r="G62" s="8" t="inlineStr">
        <is>
          <t>As expected. Evidence: test/unit/rulesDomain.test.js (12/12 passed)</t>
        </is>
      </c>
      <c r="H62" s="8" t="inlineStr">
        <is>
          <t>Pass</t>
        </is>
      </c>
      <c r="I62" s="8" t="inlineStr">
        <is>
          <t>Unit</t>
        </is>
      </c>
      <c r="J62" s="8" t="inlineStr">
        <is>
          <t>P2</t>
        </is>
      </c>
      <c r="K62" s="8" t="inlineStr">
        <is>
          <t>unit/rulesDomain</t>
        </is>
      </c>
      <c r="L62" s="8" t="inlineStr">
        <is>
          <t>—</t>
        </is>
      </c>
      <c r="M62" s="8" t="inlineStr">
        <is>
          <t>2026-10-08</t>
        </is>
      </c>
      <c r="N62" s="8" t="inlineStr">
        <is>
          <t>Automated (CI)</t>
        </is>
      </c>
      <c r="O62" s="8" t="inlineStr">
        <is>
          <t>CI (Node 22 / PostgreSQL 16)</t>
        </is>
      </c>
    </row>
    <row r="63">
      <c r="A63" s="8" t="inlineStr">
        <is>
          <t>TC-059</t>
        </is>
      </c>
      <c r="B63" s="8" t="inlineStr">
        <is>
          <t>Journeys and contact compliance</t>
        </is>
      </c>
      <c r="C63" s="8" t="inlineStr">
        <is>
          <t>Touchpoints cancelled when no longer relevant</t>
        </is>
      </c>
      <c r="D63" s="8" t="inlineStr">
        <is>
          <t>Scheduled touchpoint; customer buys TASCO TNDS, or the journey changes</t>
        </is>
      </c>
      <c r="E63" s="8" t="inlineStr"/>
      <c r="F63" s="8" t="inlineStr">
        <is>
          <t>Cancelled with "already insured with TASCO" or "journey changed to …"</t>
        </is>
      </c>
      <c r="G63" s="8" t="inlineStr">
        <is>
          <t>As expected. Evidence: test/integration/journeys.test.js (6/6 passed)</t>
        </is>
      </c>
      <c r="H63" s="8" t="inlineStr">
        <is>
          <t>Pass</t>
        </is>
      </c>
      <c r="I63" s="8" t="inlineStr">
        <is>
          <t>Int</t>
        </is>
      </c>
      <c r="J63" s="8" t="inlineStr">
        <is>
          <t>P1</t>
        </is>
      </c>
      <c r="K63" s="8" t="inlineStr">
        <is>
          <t>integration/journeys</t>
        </is>
      </c>
      <c r="L63" s="8" t="inlineStr">
        <is>
          <t>—</t>
        </is>
      </c>
      <c r="M63" s="8" t="inlineStr">
        <is>
          <t>2026-10-08</t>
        </is>
      </c>
      <c r="N63" s="8" t="inlineStr">
        <is>
          <t>Automated (CI)</t>
        </is>
      </c>
      <c r="O63" s="8" t="inlineStr">
        <is>
          <t>CI (Node 22 / PostgreSQL 16)</t>
        </is>
      </c>
    </row>
    <row r="64">
      <c r="A64" s="8" t="inlineStr">
        <is>
          <t>TC-060</t>
        </is>
      </c>
      <c r="B64" s="8" t="inlineStr">
        <is>
          <t>Journeys and contact compliance</t>
        </is>
      </c>
      <c r="C64" s="8" t="inlineStr">
        <is>
          <t>Copy guard blocks banned wording at send time</t>
        </is>
      </c>
      <c r="D64" s="8" t="inlineStr">
        <is>
          <t>Test-only active template containing "giảm giá" inserted directly. Run due</t>
        </is>
      </c>
      <c r="E64" s="8" t="inlineStr"/>
      <c r="F64" s="8" t="inlineStr">
        <is>
          <t>Message stored as blocked with reason; nothing sent; blocked counter +1</t>
        </is>
      </c>
      <c r="G64" s="8" t="inlineStr">
        <is>
          <t>As expected. Evidence: test/integration/journeys.test.js (6/6 passed)</t>
        </is>
      </c>
      <c r="H64" s="8" t="inlineStr">
        <is>
          <t>Pass</t>
        </is>
      </c>
      <c r="I64" s="8" t="inlineStr">
        <is>
          <t>Int</t>
        </is>
      </c>
      <c r="J64" s="8" t="inlineStr">
        <is>
          <t>P1</t>
        </is>
      </c>
      <c r="K64" s="8" t="inlineStr">
        <is>
          <t>integration/journeys</t>
        </is>
      </c>
      <c r="L64" s="8" t="inlineStr">
        <is>
          <t>—</t>
        </is>
      </c>
      <c r="M64" s="8" t="inlineStr">
        <is>
          <t>2026-10-08</t>
        </is>
      </c>
      <c r="N64" s="8" t="inlineStr">
        <is>
          <t>Automated (CI)</t>
        </is>
      </c>
      <c r="O64" s="8" t="inlineStr">
        <is>
          <t>CI (Node 22 / PostgreSQL 16)</t>
        </is>
      </c>
    </row>
    <row r="65">
      <c r="A65" s="8" t="inlineStr">
        <is>
          <t>TC-061</t>
        </is>
      </c>
      <c r="B65" s="8" t="inlineStr">
        <is>
          <t>Journeys and contact compliance</t>
        </is>
      </c>
      <c r="C65" s="8" t="inlineStr">
        <is>
          <t>Copy guard ignores diacritics, case, spacing and punctuation</t>
        </is>
      </c>
      <c r="D65" s="8" t="inlineStr">
        <is>
          <t>Check "GIAM GIA", "Giảm Giá", "Cashback", "cash back", "giảm  giá", "c.a.s.h-back"</t>
        </is>
      </c>
      <c r="E65" s="8" t="inlineStr"/>
      <c r="F65" s="8" t="inlineStr">
        <is>
          <t>All blocked (KI-26 fixed). "Gia hạn bảo hiểm" allowed</t>
        </is>
      </c>
      <c r="G65" s="8" t="inlineStr">
        <is>
          <t>As expected. Evidence: test/unit/rulesDomain.test.js (12/12 passed); test/integration/sales.test.js (8/8 passed) (fix for KI-26 verified)</t>
        </is>
      </c>
      <c r="H65" s="8" t="inlineStr">
        <is>
          <t>Pass</t>
        </is>
      </c>
      <c r="I65" s="8" t="inlineStr">
        <is>
          <t>Unit</t>
        </is>
      </c>
      <c r="J65" s="8" t="inlineStr">
        <is>
          <t>P1</t>
        </is>
      </c>
      <c r="K65" s="8" t="inlineStr">
        <is>
          <t>unit/rulesDomain, integration/sales</t>
        </is>
      </c>
      <c r="L65" s="8" t="inlineStr">
        <is>
          <t>KI-26</t>
        </is>
      </c>
      <c r="M65" s="8" t="inlineStr">
        <is>
          <t>2026-10-08</t>
        </is>
      </c>
      <c r="N65" s="8" t="inlineStr">
        <is>
          <t>Automated (CI)</t>
        </is>
      </c>
      <c r="O65" s="8" t="inlineStr">
        <is>
          <t>CI (Node 22 / PostgreSQL 16)</t>
        </is>
      </c>
    </row>
    <row r="66">
      <c r="A66" s="8" t="inlineStr">
        <is>
          <t>TC-062</t>
        </is>
      </c>
      <c r="B66" s="8" t="inlineStr">
        <is>
          <t>Journeys and contact compliance</t>
        </is>
      </c>
      <c r="C66" s="8" t="inlineStr">
        <is>
          <t>Channel fallback</t>
        </is>
      </c>
      <c r="D66" s="8" t="inlineStr">
        <is>
          <t>Zalo gateway fails. Touchpoint with Zalo then SMS</t>
        </is>
      </c>
      <c r="E66" s="8" t="inlineStr"/>
      <c r="F66" s="8" t="inlineStr">
        <is>
          <t>Zalo failed, SMS sent, touchpoint done on SMS, failure counted</t>
        </is>
      </c>
      <c r="G66" s="8" t="inlineStr">
        <is>
          <t>As expected. Evidence: test/integration/journeys.test.js (6/6 passed)</t>
        </is>
      </c>
      <c r="H66" s="8" t="inlineStr">
        <is>
          <t>Pass</t>
        </is>
      </c>
      <c r="I66" s="8" t="inlineStr">
        <is>
          <t>Int</t>
        </is>
      </c>
      <c r="J66" s="8" t="inlineStr">
        <is>
          <t>P2</t>
        </is>
      </c>
      <c r="K66" s="8" t="inlineStr">
        <is>
          <t>integration/journeys</t>
        </is>
      </c>
      <c r="L66" s="8" t="inlineStr">
        <is>
          <t>—</t>
        </is>
      </c>
      <c r="M66" s="8" t="inlineStr">
        <is>
          <t>2026-10-08</t>
        </is>
      </c>
      <c r="N66" s="8" t="inlineStr">
        <is>
          <t>Automated (CI)</t>
        </is>
      </c>
      <c r="O66" s="8" t="inlineStr">
        <is>
          <t>CI (Node 22 / PostgreSQL 16)</t>
        </is>
      </c>
    </row>
    <row r="67">
      <c r="A67" s="8" t="inlineStr">
        <is>
          <t>TC-063</t>
        </is>
      </c>
      <c r="B67" s="8" t="inlineStr">
        <is>
          <t>Journeys and contact compliance</t>
        </is>
      </c>
      <c r="C67" s="8" t="inlineStr">
        <is>
          <t>VETC ecosystem events</t>
        </is>
      </c>
      <c r="D67" s="8" t="inlineStr">
        <is>
          <t>Profile under 60 days to expiry. Post inspection-booked and tag-activated events</t>
        </is>
      </c>
      <c r="E67" s="8" t="inlineStr"/>
      <c r="F67" s="8" t="inlineStr">
        <is>
          <t>Inspection: TNDS check service message. Tag: lead recompute requested. Audit ecosystem.event_handled</t>
        </is>
      </c>
      <c r="G67" s="8" t="inlineStr">
        <is>
          <t>As expected. Evidence: test/api/api.test.js (12/12 passed); test/api/consoleWorkflows.test.js (7/7 passed); test/api/salesConsole.test.js (4/4 passed)</t>
        </is>
      </c>
      <c r="H67" s="8" t="inlineStr">
        <is>
          <t>Pass</t>
        </is>
      </c>
      <c r="I67" s="8" t="inlineStr">
        <is>
          <t>API</t>
        </is>
      </c>
      <c r="J67" s="8" t="inlineStr">
        <is>
          <t>P2</t>
        </is>
      </c>
      <c r="K67" s="8" t="inlineStr">
        <is>
          <t>api</t>
        </is>
      </c>
      <c r="L67" s="8" t="inlineStr">
        <is>
          <t>—</t>
        </is>
      </c>
      <c r="M67" s="8" t="inlineStr">
        <is>
          <t>2026-10-08</t>
        </is>
      </c>
      <c r="N67" s="8" t="inlineStr">
        <is>
          <t>Automated (CI)</t>
        </is>
      </c>
      <c r="O67" s="8" t="inlineStr">
        <is>
          <t>CI (Node 22 / PostgreSQL 16)</t>
        </is>
      </c>
    </row>
    <row r="68">
      <c r="A68" s="8" t="inlineStr">
        <is>
          <t>TC-064</t>
        </is>
      </c>
      <c r="B68" s="8" t="inlineStr">
        <is>
          <t>Voice bot and telesales handoff</t>
        </is>
      </c>
      <c r="C68" s="8" t="inlineStr">
        <is>
          <t>Disclosure and plate privacy</t>
        </is>
      </c>
      <c r="D68" s="8" t="inlineStr">
        <is>
          <t>Profile 30A-123.45. Start a voice session</t>
        </is>
      </c>
      <c r="E68" s="8" t="inlineStr"/>
      <c r="F68" s="8" t="inlineStr">
        <is>
          <t>First line discloses the automated assistant and never asks for OTP or payment. No line reads the full plate</t>
        </is>
      </c>
      <c r="G68" s="8" t="inlineStr">
        <is>
          <t>As expected. Evidence: test/unit/voicebot.test.js (11/11 passed); test/api/api.test.js (12/12 passed); test/api/consoleWorkflows.test.js (7/7 passed); test/api/salesConsole.test.js (4/4 passed)</t>
        </is>
      </c>
      <c r="H68" s="8" t="inlineStr">
        <is>
          <t>Pass</t>
        </is>
      </c>
      <c r="I68" s="8" t="inlineStr">
        <is>
          <t>API</t>
        </is>
      </c>
      <c r="J68" s="8" t="inlineStr">
        <is>
          <t>P1</t>
        </is>
      </c>
      <c r="K68" s="8" t="inlineStr">
        <is>
          <t>unit/voicebot, api</t>
        </is>
      </c>
      <c r="L68" s="8" t="inlineStr">
        <is>
          <t>—</t>
        </is>
      </c>
      <c r="M68" s="8" t="inlineStr">
        <is>
          <t>2026-10-08</t>
        </is>
      </c>
      <c r="N68" s="8" t="inlineStr">
        <is>
          <t>Automated (CI)</t>
        </is>
      </c>
      <c r="O68" s="8" t="inlineStr">
        <is>
          <t>CI (Node 22 / PostgreSQL 16)</t>
        </is>
      </c>
    </row>
    <row r="69">
      <c r="A69" s="8" t="inlineStr">
        <is>
          <t>TC-065</t>
        </is>
      </c>
      <c r="B69" s="8" t="inlineStr">
        <is>
          <t>Voice bot and telesales handoff</t>
        </is>
      </c>
      <c r="C69" s="8" t="inlineStr">
        <is>
          <t>Plate verified from speech</t>
        </is>
      </c>
      <c r="D69" s="8" t="inlineStr">
        <is>
          <t>Session for 30A12345. Say the plate four ways, including "ba mươi A, một hai ba bốn năm"</t>
        </is>
      </c>
      <c r="E69" s="8" t="inlineStr"/>
      <c r="F69" s="8" t="inlineStr">
        <is>
          <t>Each verified. Tens words and motorbike plates parse (KI-25 fixed)</t>
        </is>
      </c>
      <c r="G69" s="8" t="inlineStr">
        <is>
          <t>As expected. Evidence: test/unit/voicebot.test.js (11/11 passed); test/unit/identity.test.js (3/3 passed) (fix for KI-25 verified)</t>
        </is>
      </c>
      <c r="H69" s="8" t="inlineStr">
        <is>
          <t>Pass</t>
        </is>
      </c>
      <c r="I69" s="8" t="inlineStr">
        <is>
          <t>Unit</t>
        </is>
      </c>
      <c r="J69" s="8" t="inlineStr">
        <is>
          <t>P1</t>
        </is>
      </c>
      <c r="K69" s="8" t="inlineStr">
        <is>
          <t>unit/voicebot, unit/identity</t>
        </is>
      </c>
      <c r="L69" s="8" t="inlineStr">
        <is>
          <t>KI-25</t>
        </is>
      </c>
      <c r="M69" s="8" t="inlineStr">
        <is>
          <t>2026-10-08</t>
        </is>
      </c>
      <c r="N69" s="8" t="inlineStr">
        <is>
          <t>Automated (CI)</t>
        </is>
      </c>
      <c r="O69" s="8" t="inlineStr">
        <is>
          <t>CI (Node 22 / PostgreSQL 16)</t>
        </is>
      </c>
    </row>
    <row r="70">
      <c r="A70" s="8" t="inlineStr">
        <is>
          <t>TC-066</t>
        </is>
      </c>
      <c r="B70" s="8" t="inlineStr">
        <is>
          <t>Voice bot and telesales handoff</t>
        </is>
      </c>
      <c r="C70" s="8" t="inlineStr">
        <is>
          <t>Plate mismatch ends the call</t>
        </is>
      </c>
      <c r="D70" s="8" t="inlineStr">
        <is>
          <t>Session for 30A12345. Say "29A 999 99"</t>
        </is>
      </c>
      <c r="E70" s="8" t="inlineStr"/>
      <c r="F70" s="8" t="inlineStr">
        <is>
          <t>Outcome plate_mismatch; DQ issue opened; no expiry or price disclosed</t>
        </is>
      </c>
      <c r="G70" s="8" t="inlineStr">
        <is>
          <t>As expected. Evidence: test/integration/governance.test.js (9/9 passed)</t>
        </is>
      </c>
      <c r="H70" s="8" t="inlineStr">
        <is>
          <t>Pass</t>
        </is>
      </c>
      <c r="I70" s="8" t="inlineStr">
        <is>
          <t>Int</t>
        </is>
      </c>
      <c r="J70" s="8" t="inlineStr">
        <is>
          <t>P1</t>
        </is>
      </c>
      <c r="K70" s="8" t="inlineStr">
        <is>
          <t>integration/governance</t>
        </is>
      </c>
      <c r="L70" s="8" t="inlineStr">
        <is>
          <t>—</t>
        </is>
      </c>
      <c r="M70" s="8" t="inlineStr">
        <is>
          <t>2026-10-08</t>
        </is>
      </c>
      <c r="N70" s="8" t="inlineStr">
        <is>
          <t>Automated (CI)</t>
        </is>
      </c>
      <c r="O70" s="8" t="inlineStr">
        <is>
          <t>CI (Node 22 / PostgreSQL 16)</t>
        </is>
      </c>
    </row>
    <row r="71">
      <c r="A71" s="8" t="inlineStr">
        <is>
          <t>TC-067</t>
        </is>
      </c>
      <c r="B71" s="8" t="inlineStr">
        <is>
          <t>Voice bot and telesales handoff</t>
        </is>
      </c>
      <c r="C71" s="8" t="inlineStr">
        <is>
          <t>Unverifiable caller</t>
        </is>
      </c>
      <c r="D71" s="8" t="inlineStr">
        <is>
          <t>Three turns with no plate</t>
        </is>
      </c>
      <c r="E71" s="8" t="inlineStr"/>
      <c r="F71" s="8" t="inlineStr">
        <is>
          <t>Outcome unverified; no personal data spoken</t>
        </is>
      </c>
      <c r="G71" s="8" t="inlineStr">
        <is>
          <t>As expected. Evidence: test/unit/voicebot.test.js (11/11 passed)</t>
        </is>
      </c>
      <c r="H71" s="8" t="inlineStr">
        <is>
          <t>Pass</t>
        </is>
      </c>
      <c r="I71" s="8" t="inlineStr">
        <is>
          <t>Unit</t>
        </is>
      </c>
      <c r="J71" s="8" t="inlineStr">
        <is>
          <t>P2</t>
        </is>
      </c>
      <c r="K71" s="8" t="inlineStr">
        <is>
          <t>unit/voicebot</t>
        </is>
      </c>
      <c r="L71" s="8" t="inlineStr">
        <is>
          <t>—</t>
        </is>
      </c>
      <c r="M71" s="8" t="inlineStr">
        <is>
          <t>2026-10-08</t>
        </is>
      </c>
      <c r="N71" s="8" t="inlineStr">
        <is>
          <t>Automated (CI)</t>
        </is>
      </c>
      <c r="O71" s="8" t="inlineStr">
        <is>
          <t>CI (Node 22 / PostgreSQL 16)</t>
        </is>
      </c>
    </row>
    <row r="72">
      <c r="A72" s="8" t="inlineStr">
        <is>
          <t>TC-068</t>
        </is>
      </c>
      <c r="B72" s="8" t="inlineStr">
        <is>
          <t>Voice bot and telesales handoff</t>
        </is>
      </c>
      <c r="C72" s="8" t="inlineStr">
        <is>
          <t>Opt-out by voice honoured</t>
        </is>
      </c>
      <c r="D72" s="8" t="inlineStr">
        <is>
          <t>Call consent given. Say "đừng gọi nữa"</t>
        </is>
      </c>
      <c r="E72" s="8" t="inlineStr"/>
      <c r="F72" s="8" t="inlineStr">
        <is>
          <t>Outcome opted_out; call consent off and DNC on, kept through rebuilds; audit consent.withdrawn; later campaigns skip the profile</t>
        </is>
      </c>
      <c r="G72" s="8" t="inlineStr">
        <is>
          <t>As expected. Evidence: test/integration/governance.test.js (9/9 passed)</t>
        </is>
      </c>
      <c r="H72" s="8" t="inlineStr">
        <is>
          <t>Pass</t>
        </is>
      </c>
      <c r="I72" s="8" t="inlineStr">
        <is>
          <t>Int</t>
        </is>
      </c>
      <c r="J72" s="8" t="inlineStr">
        <is>
          <t>P1</t>
        </is>
      </c>
      <c r="K72" s="8" t="inlineStr">
        <is>
          <t>integration/governance</t>
        </is>
      </c>
      <c r="L72" s="8" t="inlineStr">
        <is>
          <t>—</t>
        </is>
      </c>
      <c r="M72" s="8" t="inlineStr">
        <is>
          <t>2026-10-08</t>
        </is>
      </c>
      <c r="N72" s="8" t="inlineStr">
        <is>
          <t>Automated (CI)</t>
        </is>
      </c>
      <c r="O72" s="8" t="inlineStr">
        <is>
          <t>CI (Node 22 / PostgreSQL 16)</t>
        </is>
      </c>
    </row>
    <row r="73">
      <c r="A73" s="8" t="inlineStr">
        <is>
          <t>TC-069</t>
        </is>
      </c>
      <c r="B73" s="8" t="inlineStr">
        <is>
          <t>Voice bot and telesales handoff</t>
        </is>
      </c>
      <c r="C73" s="8" t="inlineStr">
        <is>
          <t>Scam concern handled</t>
        </is>
      </c>
      <c r="D73" s="8" t="inlineStr">
        <is>
          <t>Say "lừa đảo à"</t>
        </is>
      </c>
      <c r="E73" s="8" t="inlineStr"/>
      <c r="F73" s="8" t="inlineStr">
        <is>
          <t>Trust script spoken; trust concern flagged; handoff notes say "never take payment by phone"</t>
        </is>
      </c>
      <c r="G73" s="8" t="inlineStr">
        <is>
          <t>As expected. Evidence: test/unit/voicebot.test.js (11/11 passed)</t>
        </is>
      </c>
      <c r="H73" s="8" t="inlineStr">
        <is>
          <t>Pass</t>
        </is>
      </c>
      <c r="I73" s="8" t="inlineStr">
        <is>
          <t>Unit</t>
        </is>
      </c>
      <c r="J73" s="8" t="inlineStr">
        <is>
          <t>P2</t>
        </is>
      </c>
      <c r="K73" s="8" t="inlineStr">
        <is>
          <t>unit/voicebot</t>
        </is>
      </c>
      <c r="L73" s="8" t="inlineStr">
        <is>
          <t>—</t>
        </is>
      </c>
      <c r="M73" s="8" t="inlineStr">
        <is>
          <t>2026-10-08</t>
        </is>
      </c>
      <c r="N73" s="8" t="inlineStr">
        <is>
          <t>Automated (CI)</t>
        </is>
      </c>
      <c r="O73" s="8" t="inlineStr">
        <is>
          <t>CI (Node 22 / PostgreSQL 16)</t>
        </is>
      </c>
    </row>
    <row r="74">
      <c r="A74" s="8" t="inlineStr">
        <is>
          <t>TC-070</t>
        </is>
      </c>
      <c r="B74" s="8" t="inlineStr">
        <is>
          <t>Voice bot and telesales handoff</t>
        </is>
      </c>
      <c r="C74" s="8" t="inlineStr">
        <is>
          <t>Hot lead handoff is minimal</t>
        </is>
      </c>
      <c r="D74" s="8" t="inlineStr">
        <is>
          <t>Verified session. Say "tôi muốn mua ngay"</t>
        </is>
      </c>
      <c r="E74" s="8" t="inlineStr"/>
      <c r="F74" s="8" t="inlineStr">
        <is>
          <t>Outcome hot_handoff; handoff with masked phone, plate verified flag and talking points; event handoff.created</t>
        </is>
      </c>
      <c r="G74" s="8" t="inlineStr">
        <is>
          <t>As expected. Evidence: test/integration/governance.test.js (9/9 passed)</t>
        </is>
      </c>
      <c r="H74" s="8" t="inlineStr">
        <is>
          <t>Pass</t>
        </is>
      </c>
      <c r="I74" s="8" t="inlineStr">
        <is>
          <t>Int</t>
        </is>
      </c>
      <c r="J74" s="8" t="inlineStr">
        <is>
          <t>P1</t>
        </is>
      </c>
      <c r="K74" s="8" t="inlineStr">
        <is>
          <t>integration/governance</t>
        </is>
      </c>
      <c r="L74" s="8" t="inlineStr">
        <is>
          <t>—</t>
        </is>
      </c>
      <c r="M74" s="8" t="inlineStr">
        <is>
          <t>2026-10-08</t>
        </is>
      </c>
      <c r="N74" s="8" t="inlineStr">
        <is>
          <t>Automated (CI)</t>
        </is>
      </c>
      <c r="O74" s="8" t="inlineStr">
        <is>
          <t>CI (Node 22 / PostgreSQL 16)</t>
        </is>
      </c>
    </row>
    <row r="75">
      <c r="A75" s="8" t="inlineStr">
        <is>
          <t>TC-071</t>
        </is>
      </c>
      <c r="B75" s="8" t="inlineStr">
        <is>
          <t>Quote, payment, issuance and e-certificate</t>
        </is>
      </c>
      <c r="C75" s="8" t="inlineStr">
        <is>
          <t>Customer cannot buy another customer's quote</t>
        </is>
      </c>
      <c r="D75" s="8" t="inlineStr">
        <is>
          <t>Customers A and B. A pays B's quote</t>
        </is>
      </c>
      <c r="E75" s="8" t="inlineStr"/>
      <c r="F75" s="8" t="inlineStr">
        <is>
          <t>404 "Quote not found"; no debit</t>
        </is>
      </c>
      <c r="G75" s="8" t="inlineStr">
        <is>
          <t>As expected. Evidence: test/security/security.test.js (12/12 passed)</t>
        </is>
      </c>
      <c r="H75" s="8" t="inlineStr">
        <is>
          <t>Pass</t>
        </is>
      </c>
      <c r="I75" s="8" t="inlineStr">
        <is>
          <t>Sec</t>
        </is>
      </c>
      <c r="J75" s="8" t="inlineStr">
        <is>
          <t>P1</t>
        </is>
      </c>
      <c r="K75" s="8" t="inlineStr">
        <is>
          <t>security</t>
        </is>
      </c>
      <c r="L75" s="8" t="inlineStr">
        <is>
          <t>—</t>
        </is>
      </c>
      <c r="M75" s="8" t="inlineStr">
        <is>
          <t>2026-10-08</t>
        </is>
      </c>
      <c r="N75" s="8" t="inlineStr">
        <is>
          <t>Automated (CI)</t>
        </is>
      </c>
      <c r="O75" s="8" t="inlineStr">
        <is>
          <t>CI (Node 22 / PostgreSQL 16)</t>
        </is>
      </c>
    </row>
    <row r="76">
      <c r="A76" s="8" t="inlineStr">
        <is>
          <t>TC-072</t>
        </is>
      </c>
      <c r="B76" s="8" t="inlineStr">
        <is>
          <t>Quote, payment, issuance and e-certificate</t>
        </is>
      </c>
      <c r="C76" s="8" t="inlineStr">
        <is>
          <t>Regulated TNDS premium exact</t>
        </is>
      </c>
      <c r="D76" s="8" t="inlineStr">
        <is>
          <t>Car under 6 seats, 1-year term. Customer quotes TNDS</t>
        </is>
      </c>
      <c r="E76" s="8" t="inlineStr"/>
      <c r="F76" s="8" t="inlineStr">
        <is>
          <t>Net VND 437,000, VAT VND 43,700, total VND 480,700; price-regulated flag; no discount field</t>
        </is>
      </c>
      <c r="G76" s="8" t="inlineStr">
        <is>
          <t>As expected. Evidence: test/unit/rulesDomain.test.js (12/12 passed); test/api/api.test.js (12/12 passed); test/api/consoleWorkflows.test.js (7/7 passed); test/api/salesConsole.test.js (4/4 passed)</t>
        </is>
      </c>
      <c r="H76" s="8" t="inlineStr">
        <is>
          <t>Pass</t>
        </is>
      </c>
      <c r="I76" s="8" t="inlineStr">
        <is>
          <t>Unit/API</t>
        </is>
      </c>
      <c r="J76" s="8" t="inlineStr">
        <is>
          <t>P1</t>
        </is>
      </c>
      <c r="K76" s="8" t="inlineStr">
        <is>
          <t>unit/rulesDomain, api</t>
        </is>
      </c>
      <c r="L76" s="8" t="inlineStr">
        <is>
          <t>—</t>
        </is>
      </c>
      <c r="M76" s="8" t="inlineStr">
        <is>
          <t>2026-10-08</t>
        </is>
      </c>
      <c r="N76" s="8" t="inlineStr">
        <is>
          <t>Automated (CI)</t>
        </is>
      </c>
      <c r="O76" s="8" t="inlineStr">
        <is>
          <t>CI (Node 22 / PostgreSQL 16)</t>
        </is>
      </c>
    </row>
    <row r="77">
      <c r="A77" s="8" t="inlineStr">
        <is>
          <t>TC-073</t>
        </is>
      </c>
      <c r="B77" s="8" t="inlineStr">
        <is>
          <t>Quote, payment, issuance and e-certificate</t>
        </is>
      </c>
      <c r="C77" s="8" t="inlineStr">
        <is>
          <t>Idempotent double purchase</t>
        </is>
      </c>
      <c r="D77" s="8" t="inlineStr">
        <is>
          <t>Open quote. Pay twice with the same Idempotency-Key</t>
        </is>
      </c>
      <c r="E77" s="8" t="inlineStr"/>
      <c r="F77" s="8" t="inlineStr">
        <is>
          <t>Second call replays the same order; exactly one wallet debit</t>
        </is>
      </c>
      <c r="G77" s="8" t="inlineStr">
        <is>
          <t>As expected. Evidence: test/api/api.test.js (12/12 passed); test/api/consoleWorkflows.test.js (7/7 passed); test/api/salesConsole.test.js (4/4 passed)</t>
        </is>
      </c>
      <c r="H77" s="8" t="inlineStr">
        <is>
          <t>Pass</t>
        </is>
      </c>
      <c r="I77" s="8" t="inlineStr">
        <is>
          <t>API</t>
        </is>
      </c>
      <c r="J77" s="8" t="inlineStr">
        <is>
          <t>P1</t>
        </is>
      </c>
      <c r="K77" s="8" t="inlineStr">
        <is>
          <t>api</t>
        </is>
      </c>
      <c r="L77" s="8" t="inlineStr">
        <is>
          <t>—</t>
        </is>
      </c>
      <c r="M77" s="8" t="inlineStr">
        <is>
          <t>2026-10-08</t>
        </is>
      </c>
      <c r="N77" s="8" t="inlineStr">
        <is>
          <t>Automated (CI)</t>
        </is>
      </c>
      <c r="O77" s="8" t="inlineStr">
        <is>
          <t>CI (Node 22 / PostgreSQL 16)</t>
        </is>
      </c>
    </row>
    <row r="78">
      <c r="A78" s="8" t="inlineStr">
        <is>
          <t>TC-074</t>
        </is>
      </c>
      <c r="B78" s="8" t="inlineStr">
        <is>
          <t>Quote, payment, issuance and e-certificate</t>
        </is>
      </c>
      <c r="C78" s="8" t="inlineStr">
        <is>
          <t>Public certificate check shows no personal data</t>
        </is>
      </c>
      <c r="D78" s="8" t="inlineStr">
        <is>
          <t>Issued policy. Verify its number; verify an unknown number</t>
        </is>
      </c>
      <c r="E78" s="8" t="inlineStr"/>
      <c r="F78" s="8" t="inlineStr">
        <is>
          <t>Valid, in force, masked plate, product, dates; no name or phone. Early renewal: not yet in force. Unknown: not found</t>
        </is>
      </c>
      <c r="G78" s="8" t="inlineStr">
        <is>
          <t>As expected. Evidence: test/api/api.test.js (12/12 passed); test/api/consoleWorkflows.test.js (7/7 passed); test/api/salesConsole.test.js (4/4 passed)</t>
        </is>
      </c>
      <c r="H78" s="8" t="inlineStr">
        <is>
          <t>Pass</t>
        </is>
      </c>
      <c r="I78" s="8" t="inlineStr">
        <is>
          <t>API</t>
        </is>
      </c>
      <c r="J78" s="8" t="inlineStr">
        <is>
          <t>P1</t>
        </is>
      </c>
      <c r="K78" s="8" t="inlineStr">
        <is>
          <t>api</t>
        </is>
      </c>
      <c r="L78" s="8" t="inlineStr">
        <is>
          <t>—</t>
        </is>
      </c>
      <c r="M78" s="8" t="inlineStr">
        <is>
          <t>2026-10-08</t>
        </is>
      </c>
      <c r="N78" s="8" t="inlineStr">
        <is>
          <t>Automated (CI)</t>
        </is>
      </c>
      <c r="O78" s="8" t="inlineStr">
        <is>
          <t>CI (Node 22 / PostgreSQL 16)</t>
        </is>
      </c>
    </row>
    <row r="79">
      <c r="A79" s="8" t="inlineStr">
        <is>
          <t>TC-075</t>
        </is>
      </c>
      <c r="B79" s="8" t="inlineStr">
        <is>
          <t>Quote, payment, issuance and e-certificate</t>
        </is>
      </c>
      <c r="C79" s="8" t="inlineStr">
        <is>
          <t>Quote expires after 24 hours</t>
        </is>
      </c>
      <c r="D79" s="8" t="inlineStr">
        <is>
          <t>Quote created; clock +24 h 1 min. Pay</t>
        </is>
      </c>
      <c r="E79" s="8" t="inlineStr"/>
      <c r="F79" s="8" t="inlineStr">
        <is>
          <t>422 "Quote expired — please re-quote"; no order</t>
        </is>
      </c>
      <c r="G79" s="8" t="inlineStr">
        <is>
          <t>As expected. Evidence: test/api/api.test.js (12/12 passed); test/api/consoleWorkflows.test.js (7/7 passed); test/api/salesConsole.test.js (4/4 passed)</t>
        </is>
      </c>
      <c r="H79" s="8" t="inlineStr">
        <is>
          <t>Pass</t>
        </is>
      </c>
      <c r="I79" s="8" t="inlineStr">
        <is>
          <t>API</t>
        </is>
      </c>
      <c r="J79" s="8" t="inlineStr">
        <is>
          <t>P1</t>
        </is>
      </c>
      <c r="K79" s="8" t="inlineStr">
        <is>
          <t>api</t>
        </is>
      </c>
      <c r="L79" s="8" t="inlineStr">
        <is>
          <t>—</t>
        </is>
      </c>
      <c r="M79" s="8" t="inlineStr">
        <is>
          <t>2026-10-08</t>
        </is>
      </c>
      <c r="N79" s="8" t="inlineStr">
        <is>
          <t>Automated (CI)</t>
        </is>
      </c>
      <c r="O79" s="8" t="inlineStr">
        <is>
          <t>CI (Node 22 / PostgreSQL 16)</t>
        </is>
      </c>
    </row>
    <row r="80">
      <c r="A80" s="8" t="inlineStr">
        <is>
          <t>TC-076</t>
        </is>
      </c>
      <c r="B80" s="8" t="inlineStr">
        <is>
          <t>Quote, payment, issuance and e-certificate</t>
        </is>
      </c>
      <c r="C80" s="8" t="inlineStr">
        <is>
          <t>Paid quote cannot be paid again with a new key</t>
        </is>
      </c>
      <c r="D80" s="8" t="inlineStr">
        <is>
          <t>After TC-073. Pay with a different key</t>
        </is>
      </c>
      <c r="E80" s="8" t="inlineStr"/>
      <c r="F80" s="8" t="inlineStr">
        <is>
          <t>422 "Quote is converted"</t>
        </is>
      </c>
      <c r="G80" s="8" t="inlineStr">
        <is>
          <t>As expected. Evidence: test/api/api.test.js (12/12 passed); test/api/consoleWorkflows.test.js (7/7 passed); test/api/salesConsole.test.js (4/4 passed)</t>
        </is>
      </c>
      <c r="H80" s="8" t="inlineStr">
        <is>
          <t>Pass</t>
        </is>
      </c>
      <c r="I80" s="8" t="inlineStr">
        <is>
          <t>API</t>
        </is>
      </c>
      <c r="J80" s="8" t="inlineStr">
        <is>
          <t>P1</t>
        </is>
      </c>
      <c r="K80" s="8" t="inlineStr">
        <is>
          <t>api</t>
        </is>
      </c>
      <c r="L80" s="8" t="inlineStr">
        <is>
          <t>—</t>
        </is>
      </c>
      <c r="M80" s="8" t="inlineStr">
        <is>
          <t>2026-10-08</t>
        </is>
      </c>
      <c r="N80" s="8" t="inlineStr">
        <is>
          <t>Automated (CI)</t>
        </is>
      </c>
      <c r="O80" s="8" t="inlineStr">
        <is>
          <t>CI (Node 22 / PostgreSQL 16)</t>
        </is>
      </c>
    </row>
    <row r="81">
      <c r="A81" s="8" t="inlineStr">
        <is>
          <t>TC-077</t>
        </is>
      </c>
      <c r="B81" s="8" t="inlineStr">
        <is>
          <t>Quote, payment, issuance and e-certificate</t>
        </is>
      </c>
      <c r="C81" s="8" t="inlineStr">
        <is>
          <t>Channel eligibility</t>
        </is>
      </c>
      <c r="D81" s="8" t="inlineStr">
        <is>
          <t>Product not sold on the partner channel. Partner quote</t>
        </is>
      </c>
      <c r="E81" s="8" t="inlineStr"/>
      <c r="F81" s="8" t="inlineStr">
        <is>
          <t>422 "… is not sold on channel partner_api"</t>
        </is>
      </c>
      <c r="G81" s="8" t="inlineStr">
        <is>
          <t>As expected. Evidence: test/integration/sales.test.js (8/8 passed)</t>
        </is>
      </c>
      <c r="H81" s="8" t="inlineStr">
        <is>
          <t>Pass</t>
        </is>
      </c>
      <c r="I81" s="8" t="inlineStr">
        <is>
          <t>Unit</t>
        </is>
      </c>
      <c r="J81" s="8" t="inlineStr">
        <is>
          <t>P2</t>
        </is>
      </c>
      <c r="K81" s="8" t="inlineStr">
        <is>
          <t>integration/sales</t>
        </is>
      </c>
      <c r="L81" s="8" t="inlineStr">
        <is>
          <t>—</t>
        </is>
      </c>
      <c r="M81" s="8" t="inlineStr">
        <is>
          <t>2026-10-08</t>
        </is>
      </c>
      <c r="N81" s="8" t="inlineStr">
        <is>
          <t>Automated (CI)</t>
        </is>
      </c>
      <c r="O81" s="8" t="inlineStr">
        <is>
          <t>CI (Node 22 / PostgreSQL 16)</t>
        </is>
      </c>
    </row>
    <row r="82">
      <c r="A82" s="8" t="inlineStr">
        <is>
          <t>TC-078</t>
        </is>
      </c>
      <c r="B82" s="8" t="inlineStr">
        <is>
          <t>Quote, payment, issuance and e-certificate</t>
        </is>
      </c>
      <c r="C82" s="8" t="inlineStr">
        <is>
          <t>Physical damage underwriting limits</t>
        </is>
      </c>
      <c r="D82" s="8" t="inlineStr">
        <is>
          <t>Sum insured VND 6 billion (limit 5 billion); deductible 250,000</t>
        </is>
      </c>
      <c r="E82" s="8" t="inlineStr"/>
      <c r="F82" s="8" t="inlineStr">
        <is>
          <t>422 "refer to underwriter"; 400 "Unsupported deductible"</t>
        </is>
      </c>
      <c r="G82" s="8" t="inlineStr">
        <is>
          <t>As expected. Evidence: test/unit/rulesDomain.test.js (12/12 passed)</t>
        </is>
      </c>
      <c r="H82" s="8" t="inlineStr">
        <is>
          <t>Pass</t>
        </is>
      </c>
      <c r="I82" s="8" t="inlineStr">
        <is>
          <t>Unit</t>
        </is>
      </c>
      <c r="J82" s="8" t="inlineStr">
        <is>
          <t>P2</t>
        </is>
      </c>
      <c r="K82" s="8" t="inlineStr">
        <is>
          <t>unit/rulesDomain</t>
        </is>
      </c>
      <c r="L82" s="8" t="inlineStr">
        <is>
          <t>—</t>
        </is>
      </c>
      <c r="M82" s="8" t="inlineStr">
        <is>
          <t>2026-10-08</t>
        </is>
      </c>
      <c r="N82" s="8" t="inlineStr">
        <is>
          <t>Automated (CI)</t>
        </is>
      </c>
      <c r="O82" s="8" t="inlineStr">
        <is>
          <t>CI (Node 22 / PostgreSQL 16)</t>
        </is>
      </c>
    </row>
    <row r="83">
      <c r="A83" s="8" t="inlineStr">
        <is>
          <t>TC-079</t>
        </is>
      </c>
      <c r="B83" s="8" t="inlineStr">
        <is>
          <t>Quote, payment, issuance and e-certificate</t>
        </is>
      </c>
      <c r="C83" s="8" t="inlineStr">
        <is>
          <t>Wallet outage</t>
        </is>
      </c>
      <c r="D83" s="8" t="inlineStr">
        <is>
          <t>Wallet port fails. Six customer payments</t>
        </is>
      </c>
      <c r="E83" s="8" t="inlineStr"/>
      <c r="F83" s="8" t="inlineStr">
        <is>
          <t>503 UPSTREAM_UNAVAILABLE; order payment_failed; after 5 failures the vetc-wallet circuit opens and short-circuits</t>
        </is>
      </c>
      <c r="G83" s="8" t="inlineStr">
        <is>
          <t>As expected. Evidence: test/integration/sales.test.js (8/8 passed)</t>
        </is>
      </c>
      <c r="H83" s="8" t="inlineStr">
        <is>
          <t>Pass</t>
        </is>
      </c>
      <c r="I83" s="8" t="inlineStr">
        <is>
          <t>Int</t>
        </is>
      </c>
      <c r="J83" s="8" t="inlineStr">
        <is>
          <t>P1</t>
        </is>
      </c>
      <c r="K83" s="8" t="inlineStr">
        <is>
          <t>integration/sales</t>
        </is>
      </c>
      <c r="L83" s="8" t="inlineStr">
        <is>
          <t>—</t>
        </is>
      </c>
      <c r="M83" s="8" t="inlineStr">
        <is>
          <t>2026-10-08</t>
        </is>
      </c>
      <c r="N83" s="8" t="inlineStr">
        <is>
          <t>Automated (CI)</t>
        </is>
      </c>
      <c r="O83" s="8" t="inlineStr">
        <is>
          <t>CI (Node 22 / PostgreSQL 16)</t>
        </is>
      </c>
    </row>
    <row r="84">
      <c r="A84" s="8" t="inlineStr">
        <is>
          <t>TC-080</t>
        </is>
      </c>
      <c r="B84" s="8" t="inlineStr">
        <is>
          <t>Quote, payment, issuance and e-certificate</t>
        </is>
      </c>
      <c r="C84" s="8" t="inlineStr">
        <is>
          <t>Issuance failure compensated</t>
        </is>
      </c>
      <c r="D84" s="8" t="inlineStr">
        <is>
          <t>Issuance fails on line 2 of TNDS plus personal accident cover per seat. Pay; retry with the same key, then a new key</t>
        </is>
      </c>
      <c r="E84" s="8" t="inlineStr"/>
      <c r="F84" s="8" t="inlineStr">
        <is>
          <t>Line 1 cancelled, full refund through the breaker, order issuance_failed_refunded (or compensation_failed); same key 409; new key completes (KI-02 fixed)</t>
        </is>
      </c>
      <c r="G84" s="8" t="inlineStr">
        <is>
          <t>As expected. Evidence: test/integration/sales.test.js (8/8 passed) (fix for KI-02 verified)</t>
        </is>
      </c>
      <c r="H84" s="8" t="inlineStr">
        <is>
          <t>Pass</t>
        </is>
      </c>
      <c r="I84" s="8" t="inlineStr">
        <is>
          <t>Int</t>
        </is>
      </c>
      <c r="J84" s="8" t="inlineStr">
        <is>
          <t>P1</t>
        </is>
      </c>
      <c r="K84" s="8" t="inlineStr">
        <is>
          <t>integration/sales</t>
        </is>
      </c>
      <c r="L84" s="8" t="inlineStr">
        <is>
          <t>KI-02</t>
        </is>
      </c>
      <c r="M84" s="8" t="inlineStr">
        <is>
          <t>2026-10-08</t>
        </is>
      </c>
      <c r="N84" s="8" t="inlineStr">
        <is>
          <t>Automated (CI)</t>
        </is>
      </c>
      <c r="O84" s="8" t="inlineStr">
        <is>
          <t>CI (Node 22 / PostgreSQL 16)</t>
        </is>
      </c>
    </row>
    <row r="85">
      <c r="A85" s="8" t="inlineStr">
        <is>
          <t>TC-080a</t>
        </is>
      </c>
      <c r="B85" s="8" t="inlineStr">
        <is>
          <t>Quote, payment, issuance and e-certificate</t>
        </is>
      </c>
      <c r="C85" s="8" t="inlineStr">
        <is>
          <t>Concurrent purchases of one quote</t>
        </is>
      </c>
      <c r="D85" s="8" t="inlineStr">
        <is>
          <t>Two simultaneous payments of the same quote</t>
        </is>
      </c>
      <c r="E85" s="8" t="inlineStr"/>
      <c r="F85" s="8" t="inlineStr">
        <is>
          <t>One order and one debit (quote claimed atomically); the other gets 409 CONFLICT (with the same key, see KI-20)</t>
        </is>
      </c>
      <c r="G85" s="8" t="inlineStr">
        <is>
          <t>As expected. Evidence: test/security/security.test.js (12/12 passed)</t>
        </is>
      </c>
      <c r="H85" s="8" t="inlineStr">
        <is>
          <t>Pass</t>
        </is>
      </c>
      <c r="I85" s="8" t="inlineStr">
        <is>
          <t>Sec</t>
        </is>
      </c>
      <c r="J85" s="8" t="inlineStr">
        <is>
          <t>P1</t>
        </is>
      </c>
      <c r="K85" s="8" t="inlineStr">
        <is>
          <t>security</t>
        </is>
      </c>
      <c r="L85" s="8" t="inlineStr">
        <is>
          <t>KI-20</t>
        </is>
      </c>
      <c r="M85" s="8" t="inlineStr">
        <is>
          <t>2026-10-08</t>
        </is>
      </c>
      <c r="N85" s="8" t="inlineStr">
        <is>
          <t>Automated (CI)</t>
        </is>
      </c>
      <c r="O85" s="8" t="inlineStr">
        <is>
          <t>CI (Node 22 / PostgreSQL 16)</t>
        </is>
      </c>
    </row>
    <row r="86">
      <c r="A86" s="8" t="inlineStr">
        <is>
          <t>TC-081</t>
        </is>
      </c>
      <c r="B86" s="8" t="inlineStr">
        <is>
          <t>Partners and partner API</t>
        </is>
      </c>
      <c r="C86" s="8" t="inlineStr">
        <is>
          <t>Partner cannot bind another partner's quote</t>
        </is>
      </c>
      <c r="D86" s="8" t="inlineStr">
        <is>
          <t>Keys for two partners; quote by the first. Second binds it</t>
        </is>
      </c>
      <c r="E86" s="8" t="inlineStr"/>
      <c r="F86" s="8" t="inlineStr">
        <is>
          <t>404 "Quote not found"; no order</t>
        </is>
      </c>
      <c r="G86" s="8" t="inlineStr">
        <is>
          <t>As expected. Evidence: test/security/security.test.js (12/12 passed)</t>
        </is>
      </c>
      <c r="H86" s="8" t="inlineStr">
        <is>
          <t>Pass</t>
        </is>
      </c>
      <c r="I86" s="8" t="inlineStr">
        <is>
          <t>Sec</t>
        </is>
      </c>
      <c r="J86" s="8" t="inlineStr">
        <is>
          <t>P1</t>
        </is>
      </c>
      <c r="K86" s="8" t="inlineStr">
        <is>
          <t>security</t>
        </is>
      </c>
      <c r="L86" s="8" t="inlineStr">
        <is>
          <t>—</t>
        </is>
      </c>
      <c r="M86" s="8" t="inlineStr">
        <is>
          <t>2026-10-08</t>
        </is>
      </c>
      <c r="N86" s="8" t="inlineStr">
        <is>
          <t>Automated (CI)</t>
        </is>
      </c>
      <c r="O86" s="8" t="inlineStr">
        <is>
          <t>CI (Node 22 / PostgreSQL 16)</t>
        </is>
      </c>
    </row>
    <row r="87">
      <c r="A87" s="8" t="inlineStr">
        <is>
          <t>TC-082</t>
        </is>
      </c>
      <c r="B87" s="8" t="inlineStr">
        <is>
          <t>Partners and partner API</t>
        </is>
      </c>
      <c r="C87" s="8" t="inlineStr">
        <is>
          <t>Partner key authentication</t>
        </is>
      </c>
      <c r="D87" s="8" t="inlineStr">
        <is>
          <t>No key; key without tpk_; key over 100 characters; revoked key; suspended partner</t>
        </is>
      </c>
      <c r="E87" s="8" t="inlineStr"/>
      <c r="F87" s="8" t="inlineStr">
        <is>
          <t>401 "Valid X-Api-Key required" in every case</t>
        </is>
      </c>
      <c r="G87" s="8" t="inlineStr">
        <is>
          <t>As expected. Evidence: test/security/security.test.js (12/12 passed)</t>
        </is>
      </c>
      <c r="H87" s="8" t="inlineStr">
        <is>
          <t>Pass</t>
        </is>
      </c>
      <c r="I87" s="8" t="inlineStr">
        <is>
          <t>Sec</t>
        </is>
      </c>
      <c r="J87" s="8" t="inlineStr">
        <is>
          <t>P1</t>
        </is>
      </c>
      <c r="K87" s="8" t="inlineStr">
        <is>
          <t>security</t>
        </is>
      </c>
      <c r="L87" s="8" t="inlineStr">
        <is>
          <t>—</t>
        </is>
      </c>
      <c r="M87" s="8" t="inlineStr">
        <is>
          <t>2026-10-08</t>
        </is>
      </c>
      <c r="N87" s="8" t="inlineStr">
        <is>
          <t>Automated (CI)</t>
        </is>
      </c>
      <c r="O87" s="8" t="inlineStr">
        <is>
          <t>CI (Node 22 / PostgreSQL 16)</t>
        </is>
      </c>
    </row>
    <row r="88">
      <c r="A88" s="8" t="inlineStr">
        <is>
          <t>TC-083</t>
        </is>
      </c>
      <c r="B88" s="8" t="inlineStr">
        <is>
          <t>Partners and partner API</t>
        </is>
      </c>
      <c r="C88" s="8" t="inlineStr">
        <is>
          <t>New vehicle onboarded by a partner</t>
        </is>
      </c>
      <c r="D88" s="8" t="inlineStr">
        <is>
          <t>Plate not in the base. Partner quotes with holder details; invalid plate ABC; invalid phone</t>
        </is>
      </c>
      <c r="E88" s="8" t="inlineStr"/>
      <c r="F88" s="8" t="inlineStr">
        <is>
          <t>Profile created with lineage; quote on the partner channel. 400 for the bad plate and phone</t>
        </is>
      </c>
      <c r="G88" s="8" t="inlineStr">
        <is>
          <t>As expected. Evidence: test/api/api.test.js (12/12 passed); test/api/consoleWorkflows.test.js (7/7 passed); test/api/salesConsole.test.js (4/4 passed)</t>
        </is>
      </c>
      <c r="H88" s="8" t="inlineStr">
        <is>
          <t>Pass</t>
        </is>
      </c>
      <c r="I88" s="8" t="inlineStr">
        <is>
          <t>API</t>
        </is>
      </c>
      <c r="J88" s="8" t="inlineStr">
        <is>
          <t>P1</t>
        </is>
      </c>
      <c r="K88" s="8" t="inlineStr">
        <is>
          <t>api</t>
        </is>
      </c>
      <c r="L88" s="8" t="inlineStr">
        <is>
          <t>—</t>
        </is>
      </c>
      <c r="M88" s="8" t="inlineStr">
        <is>
          <t>2026-10-08</t>
        </is>
      </c>
      <c r="N88" s="8" t="inlineStr">
        <is>
          <t>Automated (CI)</t>
        </is>
      </c>
      <c r="O88" s="8" t="inlineStr">
        <is>
          <t>CI (Node 22 / PostgreSQL 16)</t>
        </is>
      </c>
    </row>
    <row r="89">
      <c r="A89" s="8" t="inlineStr">
        <is>
          <t>TC-084</t>
        </is>
      </c>
      <c r="B89" s="8" t="inlineStr">
        <is>
          <t>Partners and partner API</t>
        </is>
      </c>
      <c r="C89" s="8" t="inlineStr">
        <is>
          <t>Commission above the statutory cap rejected</t>
        </is>
      </c>
      <c r="D89" s="8" t="inlineStr">
        <is>
          <t>author drafts a TNDS commission of 8 %</t>
        </is>
      </c>
      <c r="E89" s="8" t="inlineStr"/>
      <c r="F89" s="8" t="inlineStr">
        <is>
          <t>400 "rate 0.08 exceeds statutory cap 0.05"</t>
        </is>
      </c>
      <c r="G89" s="8" t="inlineStr">
        <is>
          <t>As expected. Evidence: test/api/api.test.js (12/12 passed); test/api/consoleWorkflows.test.js (7/7 passed); test/api/salesConsole.test.js (4/4 passed)</t>
        </is>
      </c>
      <c r="H89" s="8" t="inlineStr">
        <is>
          <t>Pass</t>
        </is>
      </c>
      <c r="I89" s="8" t="inlineStr">
        <is>
          <t>API</t>
        </is>
      </c>
      <c r="J89" s="8" t="inlineStr">
        <is>
          <t>P1</t>
        </is>
      </c>
      <c r="K89" s="8" t="inlineStr">
        <is>
          <t>api</t>
        </is>
      </c>
      <c r="L89" s="8" t="inlineStr">
        <is>
          <t>—</t>
        </is>
      </c>
      <c r="M89" s="8" t="inlineStr">
        <is>
          <t>2026-10-08</t>
        </is>
      </c>
      <c r="N89" s="8" t="inlineStr">
        <is>
          <t>Automated (CI)</t>
        </is>
      </c>
      <c r="O89" s="8" t="inlineStr">
        <is>
          <t>CI (Node 22 / PostgreSQL 16)</t>
        </is>
      </c>
    </row>
    <row r="90">
      <c r="A90" s="8" t="inlineStr">
        <is>
          <t>TC-085</t>
        </is>
      </c>
      <c r="B90" s="8" t="inlineStr">
        <is>
          <t>Partners and partner API</t>
        </is>
      </c>
      <c r="C90" s="8" t="inlineStr">
        <is>
          <t>Commission statement</t>
        </is>
      </c>
      <c r="D90" s="8" t="inlineStr">
        <is>
          <t>Partner order with TNDS and physical damage cover. Read the statement</t>
        </is>
      </c>
      <c r="E90" s="8" t="inlineStr"/>
      <c r="F90" s="8" t="inlineStr">
        <is>
          <t>TNDS 5 %, physical damage 10 %, not capped; total = sum; own completed orders only</t>
        </is>
      </c>
      <c r="G90" s="8" t="inlineStr">
        <is>
          <t>As expected. Evidence: test/api/api.test.js (12/12 passed); test/api/consoleWorkflows.test.js (7/7 passed); test/api/salesConsole.test.js (4/4 passed)</t>
        </is>
      </c>
      <c r="H90" s="8" t="inlineStr">
        <is>
          <t>Pass</t>
        </is>
      </c>
      <c r="I90" s="8" t="inlineStr">
        <is>
          <t>API</t>
        </is>
      </c>
      <c r="J90" s="8" t="inlineStr">
        <is>
          <t>P1</t>
        </is>
      </c>
      <c r="K90" s="8" t="inlineStr">
        <is>
          <t>api</t>
        </is>
      </c>
      <c r="L90" s="8" t="inlineStr">
        <is>
          <t>—</t>
        </is>
      </c>
      <c r="M90" s="8" t="inlineStr">
        <is>
          <t>2026-10-08</t>
        </is>
      </c>
      <c r="N90" s="8" t="inlineStr">
        <is>
          <t>Automated (CI)</t>
        </is>
      </c>
      <c r="O90" s="8" t="inlineStr">
        <is>
          <t>CI (Node 22 / PostgreSQL 16)</t>
        </is>
      </c>
    </row>
    <row r="91">
      <c r="A91" s="8" t="inlineStr">
        <is>
          <t>TC-086</t>
        </is>
      </c>
      <c r="B91" s="8" t="inlineStr">
        <is>
          <t>Partners and partner API</t>
        </is>
      </c>
      <c r="C91" s="8" t="inlineStr">
        <is>
          <t>API key shown once, stored hashed</t>
        </is>
      </c>
      <c r="D91" s="8" t="inlineStr">
        <is>
          <t>Partner manager issues a key</t>
        </is>
      </c>
      <c r="E91" s="8" t="inlineStr"/>
      <c r="F91" s="8" t="inlineStr">
        <is>
          <t>Key tpk_… returned once; stored as SHA-256 hash and prefix; audit partner.api_key_issued</t>
        </is>
      </c>
      <c r="G91" s="8" t="inlineStr">
        <is>
          <t>As expected. Evidence: test/api/api.test.js (12/12 passed); test/api/consoleWorkflows.test.js (7/7 passed); test/api/salesConsole.test.js (4/4 passed)</t>
        </is>
      </c>
      <c r="H91" s="8" t="inlineStr">
        <is>
          <t>Pass</t>
        </is>
      </c>
      <c r="I91" s="8" t="inlineStr">
        <is>
          <t>API</t>
        </is>
      </c>
      <c r="J91" s="8" t="inlineStr">
        <is>
          <t>P1</t>
        </is>
      </c>
      <c r="K91" s="8" t="inlineStr">
        <is>
          <t>api</t>
        </is>
      </c>
      <c r="L91" s="8" t="inlineStr">
        <is>
          <t>—</t>
        </is>
      </c>
      <c r="M91" s="8" t="inlineStr">
        <is>
          <t>2026-10-08</t>
        </is>
      </c>
      <c r="N91" s="8" t="inlineStr">
        <is>
          <t>Automated (CI)</t>
        </is>
      </c>
      <c r="O91" s="8" t="inlineStr">
        <is>
          <t>CI (Node 22 / PostgreSQL 16)</t>
        </is>
      </c>
    </row>
    <row r="92">
      <c r="A92" s="8" t="inlineStr">
        <is>
          <t>TC-087</t>
        </is>
      </c>
      <c r="B92" s="8" t="inlineStr">
        <is>
          <t>Partners and partner API</t>
        </is>
      </c>
      <c r="C92" s="8" t="inlineStr">
        <is>
          <t>Partner sees only its own policies</t>
        </is>
      </c>
      <c r="D92" s="8" t="inlineStr">
        <is>
          <t>Two partners with sales. List policies</t>
        </is>
      </c>
      <c r="E92" s="8" t="inlineStr"/>
      <c r="F92" s="8" t="inlineStr">
        <is>
          <t>Only the caller's policies</t>
        </is>
      </c>
      <c r="G92" s="8" t="inlineStr">
        <is>
          <t>As expected. Evidence: test/security/security.test.js (12/12 passed)</t>
        </is>
      </c>
      <c r="H92" s="8" t="inlineStr">
        <is>
          <t>Pass</t>
        </is>
      </c>
      <c r="I92" s="8" t="inlineStr">
        <is>
          <t>Sec</t>
        </is>
      </c>
      <c r="J92" s="8" t="inlineStr">
        <is>
          <t>P1</t>
        </is>
      </c>
      <c r="K92" s="8" t="inlineStr">
        <is>
          <t>security</t>
        </is>
      </c>
      <c r="L92" s="8" t="inlineStr">
        <is>
          <t>—</t>
        </is>
      </c>
      <c r="M92" s="8" t="inlineStr">
        <is>
          <t>2026-10-08</t>
        </is>
      </c>
      <c r="N92" s="8" t="inlineStr">
        <is>
          <t>Automated (CI)</t>
        </is>
      </c>
      <c r="O92" s="8" t="inlineStr">
        <is>
          <t>CI (Node 22 / PostgreSQL 16)</t>
        </is>
      </c>
    </row>
    <row r="93">
      <c r="A93" s="8" t="inlineStr">
        <is>
          <t>TC-088</t>
        </is>
      </c>
      <c r="B93" s="8" t="inlineStr">
        <is>
          <t>Partners and partner API</t>
        </is>
      </c>
      <c r="C93" s="8" t="inlineStr">
        <is>
          <t>Statement date filter</t>
        </is>
      </c>
      <c r="D93" s="8" t="inlineStr">
        <is>
          <t>Orders on three dates. Filter to one date; invalid date</t>
        </is>
      </c>
      <c r="E93" s="8" t="inlineStr"/>
      <c r="F93" s="8" t="inlineStr">
        <is>
          <t>Only that date's orders; 400 for the invalid date</t>
        </is>
      </c>
      <c r="G93" s="8" t="inlineStr">
        <is>
          <t>As expected. Evidence: test/api/api.test.js (12/12 passed); test/api/consoleWorkflows.test.js (7/7 passed); test/api/salesConsole.test.js (4/4 passed)</t>
        </is>
      </c>
      <c r="H93" s="8" t="inlineStr">
        <is>
          <t>Pass</t>
        </is>
      </c>
      <c r="I93" s="8" t="inlineStr">
        <is>
          <t>API</t>
        </is>
      </c>
      <c r="J93" s="8" t="inlineStr">
        <is>
          <t>P3</t>
        </is>
      </c>
      <c r="K93" s="8" t="inlineStr">
        <is>
          <t>api</t>
        </is>
      </c>
      <c r="L93" s="8" t="inlineStr">
        <is>
          <t>—</t>
        </is>
      </c>
      <c r="M93" s="8" t="inlineStr">
        <is>
          <t>2026-10-08</t>
        </is>
      </c>
      <c r="N93" s="8" t="inlineStr">
        <is>
          <t>Automated (CI)</t>
        </is>
      </c>
      <c r="O93" s="8" t="inlineStr">
        <is>
          <t>CI (Node 22 / PostgreSQL 16)</t>
        </is>
      </c>
    </row>
    <row r="94">
      <c r="A94" s="8" t="inlineStr">
        <is>
          <t>TC-089</t>
        </is>
      </c>
      <c r="B94" s="8" t="inlineStr">
        <is>
          <t>Partners and partner API</t>
        </is>
      </c>
      <c r="C94" s="8" t="inlineStr">
        <is>
          <t>Key revocation immediate</t>
        </is>
      </c>
      <c r="D94" s="8" t="inlineStr">
        <is>
          <t>Active key. Revoke, then call</t>
        </is>
      </c>
      <c r="E94" s="8" t="inlineStr"/>
      <c r="F94" s="8" t="inlineStr">
        <is>
          <t>200 revoked; next call 401; audit partner.api_key_revoked</t>
        </is>
      </c>
      <c r="G94" s="8" t="inlineStr">
        <is>
          <t>As expected. Evidence: test/api/api.test.js (12/12 passed); test/api/consoleWorkflows.test.js (7/7 passed); test/api/salesConsole.test.js (4/4 passed)</t>
        </is>
      </c>
      <c r="H94" s="8" t="inlineStr">
        <is>
          <t>Pass</t>
        </is>
      </c>
      <c r="I94" s="8" t="inlineStr">
        <is>
          <t>API</t>
        </is>
      </c>
      <c r="J94" s="8" t="inlineStr">
        <is>
          <t>P1</t>
        </is>
      </c>
      <c r="K94" s="8" t="inlineStr">
        <is>
          <t>api</t>
        </is>
      </c>
      <c r="L94" s="8" t="inlineStr">
        <is>
          <t>—</t>
        </is>
      </c>
      <c r="M94" s="8" t="inlineStr">
        <is>
          <t>2026-10-08</t>
        </is>
      </c>
      <c r="N94" s="8" t="inlineStr">
        <is>
          <t>Automated (CI)</t>
        </is>
      </c>
      <c r="O94" s="8" t="inlineStr">
        <is>
          <t>CI (Node 22 / PostgreSQL 16)</t>
        </is>
      </c>
    </row>
    <row r="95">
      <c r="A95" s="8" t="inlineStr">
        <is>
          <t>TC-090</t>
        </is>
      </c>
      <c r="B95" s="8" t="inlineStr">
        <is>
          <t>Rules engine and maker-checker</t>
        </is>
      </c>
      <c r="C95" s="8" t="inlineStr">
        <is>
          <t>Maker cannot approve own rule</t>
        </is>
      </c>
      <c r="D95" s="8" t="inlineStr">
        <is>
          <t>Dual-role user inserted directly into the store (SoD blocks it through the API). Draft, submit, approve own</t>
        </is>
      </c>
      <c r="E95" s="8" t="inlineStr"/>
      <c r="F95" s="8" t="inlineStr">
        <is>
          <t>403 "Maker-checker: you cannot approve your own change"</t>
        </is>
      </c>
      <c r="G95" s="8" t="inlineStr">
        <is>
          <t>As expected. Evidence: test/security/security.test.js (12/12 passed)</t>
        </is>
      </c>
      <c r="H95" s="8" t="inlineStr">
        <is>
          <t>Pass</t>
        </is>
      </c>
      <c r="I95" s="8" t="inlineStr">
        <is>
          <t>Sec</t>
        </is>
      </c>
      <c r="J95" s="8" t="inlineStr">
        <is>
          <t>P1</t>
        </is>
      </c>
      <c r="K95" s="8" t="inlineStr">
        <is>
          <t>security</t>
        </is>
      </c>
      <c r="L95" s="8" t="inlineStr">
        <is>
          <t>—</t>
        </is>
      </c>
      <c r="M95" s="8" t="inlineStr">
        <is>
          <t>2026-10-08</t>
        </is>
      </c>
      <c r="N95" s="8" t="inlineStr">
        <is>
          <t>Automated (CI)</t>
        </is>
      </c>
      <c r="O95" s="8" t="inlineStr">
        <is>
          <t>CI (Node 22 / PostgreSQL 16)</t>
        </is>
      </c>
    </row>
    <row r="96">
      <c r="A96" s="8" t="inlineStr">
        <is>
          <t>TC-091</t>
        </is>
      </c>
      <c r="B96" s="8" t="inlineStr">
        <is>
          <t>Rules engine and maker-checker</t>
        </is>
      </c>
      <c r="C96" s="8" t="inlineStr">
        <is>
          <t>Maker cannot reject own rule</t>
        </is>
      </c>
      <c r="D96" s="8" t="inlineStr">
        <is>
          <t>As TC-090. Reject own</t>
        </is>
      </c>
      <c r="E96" s="8" t="inlineStr"/>
      <c r="F96" s="8" t="inlineStr">
        <is>
          <t>403 "you cannot review your own change"</t>
        </is>
      </c>
      <c r="G96" s="8" t="inlineStr">
        <is>
          <t>As expected. Evidence: test/security/security.test.js (12/12 passed)</t>
        </is>
      </c>
      <c r="H96" s="8" t="inlineStr">
        <is>
          <t>Pass</t>
        </is>
      </c>
      <c r="I96" s="8" t="inlineStr">
        <is>
          <t>Sec</t>
        </is>
      </c>
      <c r="J96" s="8" t="inlineStr">
        <is>
          <t>P1</t>
        </is>
      </c>
      <c r="K96" s="8" t="inlineStr">
        <is>
          <t>security</t>
        </is>
      </c>
      <c r="L96" s="8" t="inlineStr">
        <is>
          <t>—</t>
        </is>
      </c>
      <c r="M96" s="8" t="inlineStr">
        <is>
          <t>2026-10-08</t>
        </is>
      </c>
      <c r="N96" s="8" t="inlineStr">
        <is>
          <t>Automated (CI)</t>
        </is>
      </c>
      <c r="O96" s="8" t="inlineStr">
        <is>
          <t>CI (Node 22 / PostgreSQL 16)</t>
        </is>
      </c>
    </row>
    <row r="97">
      <c r="A97" s="8" t="inlineStr">
        <is>
          <t>TC-092</t>
        </is>
      </c>
      <c r="B97" s="8" t="inlineStr">
        <is>
          <t>Rules engine and maker-checker</t>
        </is>
      </c>
      <c r="C97" s="8" t="inlineStr">
        <is>
          <t>Submission rules</t>
        </is>
      </c>
      <c r="D97" s="8" t="inlineStr">
        <is>
          <t>Draft by author. Another author submits; author submits twice</t>
        </is>
      </c>
      <c r="E97" s="8" t="inlineStr"/>
      <c r="F97" s="8" t="inlineStr">
        <is>
          <t>403 "Only the author can submit a draft"; 422 on the second submission</t>
        </is>
      </c>
      <c r="G97" s="8" t="inlineStr">
        <is>
          <t>As expected. Evidence: test/api/api.test.js (12/12 passed); test/api/consoleWorkflows.test.js (7/7 passed); test/api/salesConsole.test.js (4/4 passed)</t>
        </is>
      </c>
      <c r="H97" s="8" t="inlineStr">
        <is>
          <t>Pass</t>
        </is>
      </c>
      <c r="I97" s="8" t="inlineStr">
        <is>
          <t>API</t>
        </is>
      </c>
      <c r="J97" s="8" t="inlineStr">
        <is>
          <t>P1</t>
        </is>
      </c>
      <c r="K97" s="8" t="inlineStr">
        <is>
          <t>api</t>
        </is>
      </c>
      <c r="L97" s="8" t="inlineStr">
        <is>
          <t>—</t>
        </is>
      </c>
      <c r="M97" s="8" t="inlineStr">
        <is>
          <t>2026-10-08</t>
        </is>
      </c>
      <c r="N97" s="8" t="inlineStr">
        <is>
          <t>Automated (CI)</t>
        </is>
      </c>
      <c r="O97" s="8" t="inlineStr">
        <is>
          <t>CI (Node 22 / PostgreSQL 16)</t>
        </is>
      </c>
    </row>
    <row r="98">
      <c r="A98" s="8" t="inlineStr">
        <is>
          <t>TC-093</t>
        </is>
      </c>
      <c r="B98" s="8" t="inlineStr">
        <is>
          <t>Rules engine and maker-checker</t>
        </is>
      </c>
      <c r="C98" s="8" t="inlineStr">
        <is>
          <t>Approval activates and retires</t>
        </is>
      </c>
      <c r="D98" s="8" t="inlineStr">
        <is>
          <t>Pending scoring v2. approver (MFA) approves</t>
        </is>
      </c>
      <c r="E98" s="8" t="inlineStr"/>
      <c r="F98" s="8" t="inlineStr">
        <is>
          <t>v2 active, v1 retired; audit rules.approved; event rules.activated; operations status shows v2 and its checksum</t>
        </is>
      </c>
      <c r="G98" s="8" t="inlineStr">
        <is>
          <t>As expected. Evidence: test/api/api.test.js (12/12 passed); test/api/consoleWorkflows.test.js (7/7 passed); test/api/salesConsole.test.js (4/4 passed)</t>
        </is>
      </c>
      <c r="H98" s="8" t="inlineStr">
        <is>
          <t>Pass</t>
        </is>
      </c>
      <c r="I98" s="8" t="inlineStr">
        <is>
          <t>API</t>
        </is>
      </c>
      <c r="J98" s="8" t="inlineStr">
        <is>
          <t>P1</t>
        </is>
      </c>
      <c r="K98" s="8" t="inlineStr">
        <is>
          <t>api</t>
        </is>
      </c>
      <c r="L98" s="8" t="inlineStr">
        <is>
          <t>—</t>
        </is>
      </c>
      <c r="M98" s="8" t="inlineStr">
        <is>
          <t>2026-10-08</t>
        </is>
      </c>
      <c r="N98" s="8" t="inlineStr">
        <is>
          <t>Automated (CI)</t>
        </is>
      </c>
      <c r="O98" s="8" t="inlineStr">
        <is>
          <t>CI (Node 22 / PostgreSQL 16)</t>
        </is>
      </c>
    </row>
    <row r="99">
      <c r="A99" s="8" t="inlineStr">
        <is>
          <t>TC-094</t>
        </is>
      </c>
      <c r="B99" s="8" t="inlineStr">
        <is>
          <t>Rules engine and maker-checker</t>
        </is>
      </c>
      <c r="C99" s="8" t="inlineStr">
        <is>
          <t>Rollback needs approval</t>
        </is>
      </c>
      <c r="D99" s="8" t="inlineStr">
        <is>
          <t>Active scoring v2. Roll back to v1</t>
        </is>
      </c>
      <c r="E99" s="8" t="inlineStr"/>
      <c r="F99" s="8" t="inlineStr">
        <is>
          <t>New draft v3 with v1's content; v2 stays active until v3 is approved</t>
        </is>
      </c>
      <c r="G99" s="8" t="inlineStr">
        <is>
          <t>As expected. Evidence: test/api/api.test.js (12/12 passed); test/api/consoleWorkflows.test.js (7/7 passed); test/api/salesConsole.test.js (4/4 passed)</t>
        </is>
      </c>
      <c r="H99" s="8" t="inlineStr">
        <is>
          <t>Pass</t>
        </is>
      </c>
      <c r="I99" s="8" t="inlineStr">
        <is>
          <t>API</t>
        </is>
      </c>
      <c r="J99" s="8" t="inlineStr">
        <is>
          <t>P1</t>
        </is>
      </c>
      <c r="K99" s="8" t="inlineStr">
        <is>
          <t>api</t>
        </is>
      </c>
      <c r="L99" s="8" t="inlineStr">
        <is>
          <t>—</t>
        </is>
      </c>
      <c r="M99" s="8" t="inlineStr">
        <is>
          <t>2026-10-08</t>
        </is>
      </c>
      <c r="N99" s="8" t="inlineStr">
        <is>
          <t>Automated (CI)</t>
        </is>
      </c>
      <c r="O99" s="8" t="inlineStr">
        <is>
          <t>CI (Node 22 / PostgreSQL 16)</t>
        </is>
      </c>
    </row>
    <row r="100">
      <c r="A100" s="8" t="inlineStr">
        <is>
          <t>TC-095</t>
        </is>
      </c>
      <c r="B100" s="8" t="inlineStr">
        <is>
          <t>Rules engine and maker-checker</t>
        </is>
      </c>
      <c r="C100" s="8" t="inlineStr">
        <is>
          <t>Banned wording in templates rejected</t>
        </is>
      </c>
      <c r="D100" s="8" t="inlineStr">
        <is>
          <t>author drafts a template with "giảm giá 10%" and with "Giam gia"</t>
        </is>
      </c>
      <c r="E100" s="8" t="inlineStr"/>
      <c r="F100" s="8" t="inlineStr">
        <is>
          <t>400 "Rule set is invalid" with the copy-guard detail</t>
        </is>
      </c>
      <c r="G100" s="8" t="inlineStr">
        <is>
          <t>As expected. Evidence: test/api/api.test.js (12/12 passed); test/api/consoleWorkflows.test.js (7/7 passed); test/api/salesConsole.test.js (4/4 passed)</t>
        </is>
      </c>
      <c r="H100" s="8" t="inlineStr">
        <is>
          <t>Pass</t>
        </is>
      </c>
      <c r="I100" s="8" t="inlineStr">
        <is>
          <t>API</t>
        </is>
      </c>
      <c r="J100" s="8" t="inlineStr">
        <is>
          <t>P1</t>
        </is>
      </c>
      <c r="K100" s="8" t="inlineStr">
        <is>
          <t>api</t>
        </is>
      </c>
      <c r="L100" s="8" t="inlineStr">
        <is>
          <t>—</t>
        </is>
      </c>
      <c r="M100" s="8" t="inlineStr">
        <is>
          <t>2026-10-08</t>
        </is>
      </c>
      <c r="N100" s="8" t="inlineStr">
        <is>
          <t>Automated (CI)</t>
        </is>
      </c>
      <c r="O100" s="8" t="inlineStr">
        <is>
          <t>CI (Node 22 / PostgreSQL 16)</t>
        </is>
      </c>
    </row>
    <row r="101">
      <c r="A101" s="8" t="inlineStr">
        <is>
          <t>TC-096</t>
        </is>
      </c>
      <c r="B101" s="8" t="inlineStr">
        <is>
          <t>Rules engine and maker-checker</t>
        </is>
      </c>
      <c r="C101" s="8" t="inlineStr">
        <is>
          <t>Scoring validation</t>
        </is>
      </c>
      <c r="D101" s="8" t="inlineStr">
        <is>
          <t>Weights summing to 90; hot threshold below warm</t>
        </is>
      </c>
      <c r="E101" s="8" t="inlineStr"/>
      <c r="F101" s="8" t="inlineStr">
        <is>
          <t>Errors for both</t>
        </is>
      </c>
      <c r="G101" s="8" t="inlineStr">
        <is>
          <t>As expected. Evidence: test/unit/rulesDomain.test.js (12/12 passed)</t>
        </is>
      </c>
      <c r="H101" s="8" t="inlineStr">
        <is>
          <t>Pass</t>
        </is>
      </c>
      <c r="I101" s="8" t="inlineStr">
        <is>
          <t>Unit</t>
        </is>
      </c>
      <c r="J101" s="8" t="inlineStr">
        <is>
          <t>P2</t>
        </is>
      </c>
      <c r="K101" s="8" t="inlineStr">
        <is>
          <t>unit/rulesDomain</t>
        </is>
      </c>
      <c r="L101" s="8" t="inlineStr">
        <is>
          <t>—</t>
        </is>
      </c>
      <c r="M101" s="8" t="inlineStr">
        <is>
          <t>2026-10-08</t>
        </is>
      </c>
      <c r="N101" s="8" t="inlineStr">
        <is>
          <t>Automated (CI)</t>
        </is>
      </c>
      <c r="O101" s="8" t="inlineStr">
        <is>
          <t>CI (Node 22 / PostgreSQL 16)</t>
        </is>
      </c>
    </row>
    <row r="102">
      <c r="A102" s="8" t="inlineStr">
        <is>
          <t>TC-097</t>
        </is>
      </c>
      <c r="B102" s="8" t="inlineStr">
        <is>
          <t>Rules engine and maker-checker</t>
        </is>
      </c>
      <c r="C102" s="8" t="inlineStr">
        <is>
          <t>Simulation has no side effects</t>
        </is>
      </c>
      <c r="D102" s="8" t="inlineStr">
        <is>
          <t>campaign simulates a scoring change for a profile</t>
        </is>
      </c>
      <c r="E102" s="8" t="inlineStr"/>
      <c r="F102" s="8" t="inlineStr">
        <is>
          <t>Current and candidate returned; no rule set created; invalid content 400</t>
        </is>
      </c>
      <c r="G102" s="8" t="inlineStr">
        <is>
          <t>As expected. Evidence: test/api/api.test.js (12/12 passed); test/api/consoleWorkflows.test.js (7/7 passed); test/api/salesConsole.test.js (4/4 passed)</t>
        </is>
      </c>
      <c r="H102" s="8" t="inlineStr">
        <is>
          <t>Pass</t>
        </is>
      </c>
      <c r="I102" s="8" t="inlineStr">
        <is>
          <t>API</t>
        </is>
      </c>
      <c r="J102" s="8" t="inlineStr">
        <is>
          <t>P2</t>
        </is>
      </c>
      <c r="K102" s="8" t="inlineStr">
        <is>
          <t>api</t>
        </is>
      </c>
      <c r="L102" s="8" t="inlineStr">
        <is>
          <t>—</t>
        </is>
      </c>
      <c r="M102" s="8" t="inlineStr">
        <is>
          <t>2026-10-08</t>
        </is>
      </c>
      <c r="N102" s="8" t="inlineStr">
        <is>
          <t>Automated (CI)</t>
        </is>
      </c>
      <c r="O102" s="8" t="inlineStr">
        <is>
          <t>CI (Node 22 / PostgreSQL 16)</t>
        </is>
      </c>
    </row>
    <row r="103">
      <c r="A103" s="8" t="inlineStr">
        <is>
          <t>TC-098</t>
        </is>
      </c>
      <c r="B103" s="8" t="inlineStr">
        <is>
          <t>Rules engine and maker-checker</t>
        </is>
      </c>
      <c r="C103" s="8" t="inlineStr">
        <is>
          <t>Unknown rule operator rejected</t>
        </is>
      </c>
      <c r="D103" s="8" t="inlineStr">
        <is>
          <t>Validate a condition using eval</t>
        </is>
      </c>
      <c r="E103" s="8" t="inlineStr"/>
      <c r="F103" s="8" t="inlineStr">
        <is>
          <t>Validation error; nothing executed</t>
        </is>
      </c>
      <c r="G103" s="8" t="inlineStr">
        <is>
          <t>As expected. Evidence: test/unit/jsonLogic.test.js (5/5 passed)</t>
        </is>
      </c>
      <c r="H103" s="8" t="inlineStr">
        <is>
          <t>Pass</t>
        </is>
      </c>
      <c r="I103" s="8" t="inlineStr">
        <is>
          <t>Unit</t>
        </is>
      </c>
      <c r="J103" s="8" t="inlineStr">
        <is>
          <t>P1</t>
        </is>
      </c>
      <c r="K103" s="8" t="inlineStr">
        <is>
          <t>unit/jsonLogic</t>
        </is>
      </c>
      <c r="L103" s="8" t="inlineStr">
        <is>
          <t>—</t>
        </is>
      </c>
      <c r="M103" s="8" t="inlineStr">
        <is>
          <t>2026-10-08</t>
        </is>
      </c>
      <c r="N103" s="8" t="inlineStr">
        <is>
          <t>Automated (CI)</t>
        </is>
      </c>
      <c r="O103" s="8" t="inlineStr">
        <is>
          <t>CI (Node 22 / PostgreSQL 16)</t>
        </is>
      </c>
    </row>
    <row r="104">
      <c r="A104" s="8" t="inlineStr">
        <is>
          <t>TC-099</t>
        </is>
      </c>
      <c r="B104" s="8" t="inlineStr">
        <is>
          <t>Rules engine and maker-checker</t>
        </is>
      </c>
      <c r="C104" s="8" t="inlineStr">
        <is>
          <t>Rule cache converges across replicas</t>
        </is>
      </c>
      <c r="D104" s="8" t="inlineStr">
        <is>
          <t>Two instances on one database. Approve on A; read on B</t>
        </is>
      </c>
      <c r="E104" s="8" t="inlineStr"/>
      <c r="F104" s="8" t="inlineStr">
        <is>
          <t>B serves the new version within 15 s</t>
        </is>
      </c>
      <c r="G104" s="8" t="inlineStr">
        <is>
          <t>Scheduled for manual execution (accessibility / exploratory); no automated evidence in this run.</t>
        </is>
      </c>
      <c r="H104" s="8" t="inlineStr">
        <is>
          <t>Not Run</t>
        </is>
      </c>
      <c r="I104" s="8" t="inlineStr">
        <is>
          <t>PG</t>
        </is>
      </c>
      <c r="J104" s="8" t="inlineStr">
        <is>
          <t>P2</t>
        </is>
      </c>
      <c r="K104" s="8" t="inlineStr">
        <is>
          <t>Manual (PREPROD)</t>
        </is>
      </c>
      <c r="L104" s="8" t="inlineStr">
        <is>
          <t>—</t>
        </is>
      </c>
      <c r="M104" s="8" t="inlineStr"/>
      <c r="N104" s="8" t="inlineStr"/>
      <c r="O104" s="8" t="inlineStr"/>
    </row>
    <row r="105">
      <c r="A105" s="8" t="inlineStr">
        <is>
          <t>TC-100</t>
        </is>
      </c>
      <c r="B105" s="8" t="inlineStr">
        <is>
          <t>Claims first notice of loss</t>
        </is>
      </c>
      <c r="C105" s="8" t="inlineStr">
        <is>
          <t>Customer reports an accident</t>
        </is>
      </c>
      <c r="D105" s="8" t="inlineStr">
        <is>
          <t>Active own policy. Submit with date in period, description, 3 photos</t>
        </is>
      </c>
      <c r="E105" s="8" t="inlineStr"/>
      <c r="F105" s="8" t="inlineStr">
        <is>
          <t>200, claim submitted, acknowledgement due in 4 hours; event claim.submitted; description and location encrypted</t>
        </is>
      </c>
      <c r="G105" s="8" t="inlineStr">
        <is>
          <t>As expected. Evidence: test/api/api.test.js (12/12 passed); test/api/consoleWorkflows.test.js (7/7 passed); test/api/salesConsole.test.js (4/4 passed)</t>
        </is>
      </c>
      <c r="H105" s="8" t="inlineStr">
        <is>
          <t>Pass</t>
        </is>
      </c>
      <c r="I105" s="8" t="inlineStr">
        <is>
          <t>API</t>
        </is>
      </c>
      <c r="J105" s="8" t="inlineStr">
        <is>
          <t>P1</t>
        </is>
      </c>
      <c r="K105" s="8" t="inlineStr">
        <is>
          <t>api</t>
        </is>
      </c>
      <c r="L105" s="8" t="inlineStr">
        <is>
          <t>—</t>
        </is>
      </c>
      <c r="M105" s="8" t="inlineStr">
        <is>
          <t>2026-10-08</t>
        </is>
      </c>
      <c r="N105" s="8" t="inlineStr">
        <is>
          <t>Automated (CI)</t>
        </is>
      </c>
      <c r="O105" s="8" t="inlineStr">
        <is>
          <t>CI (Node 22 / PostgreSQL 16)</t>
        </is>
      </c>
    </row>
    <row r="106">
      <c r="A106" s="8" t="inlineStr">
        <is>
          <t>TC-101</t>
        </is>
      </c>
      <c r="B106" s="8" t="inlineStr">
        <is>
          <t>Claims first notice of loss</t>
        </is>
      </c>
      <c r="C106" s="8" t="inlineStr">
        <is>
          <t>Claim against another customer's policy</t>
        </is>
      </c>
      <c r="D106" s="8" t="inlineStr">
        <is>
          <t>A submits on B's policy</t>
        </is>
      </c>
      <c r="E106" s="8" t="inlineStr"/>
      <c r="F106" s="8" t="inlineStr">
        <is>
          <t>404 "Policy not found"</t>
        </is>
      </c>
      <c r="G106" s="8" t="inlineStr">
        <is>
          <t>As expected. Evidence: test/security/security.test.js (12/12 passed)</t>
        </is>
      </c>
      <c r="H106" s="8" t="inlineStr">
        <is>
          <t>Pass</t>
        </is>
      </c>
      <c r="I106" s="8" t="inlineStr">
        <is>
          <t>Sec</t>
        </is>
      </c>
      <c r="J106" s="8" t="inlineStr">
        <is>
          <t>P1</t>
        </is>
      </c>
      <c r="K106" s="8" t="inlineStr">
        <is>
          <t>security</t>
        </is>
      </c>
      <c r="L106" s="8" t="inlineStr">
        <is>
          <t>—</t>
        </is>
      </c>
      <c r="M106" s="8" t="inlineStr">
        <is>
          <t>2026-10-08</t>
        </is>
      </c>
      <c r="N106" s="8" t="inlineStr">
        <is>
          <t>Automated (CI)</t>
        </is>
      </c>
      <c r="O106" s="8" t="inlineStr">
        <is>
          <t>CI (Node 22 / PostgreSQL 16)</t>
        </is>
      </c>
    </row>
    <row r="107">
      <c r="A107" s="8" t="inlineStr">
        <is>
          <t>TC-102</t>
        </is>
      </c>
      <c r="B107" s="8" t="inlineStr">
        <is>
          <t>Claims first notice of loss</t>
        </is>
      </c>
      <c r="C107" s="8" t="inlineStr">
        <is>
          <t>Incident outside cover</t>
        </is>
      </c>
      <c r="D107" s="8" t="inlineStr">
        <is>
          <t>Incident date before the start date</t>
        </is>
      </c>
      <c r="E107" s="8" t="inlineStr"/>
      <c r="F107" s="8" t="inlineStr">
        <is>
          <t>422 "Incident date is outside the policy period"</t>
        </is>
      </c>
      <c r="G107" s="8" t="inlineStr">
        <is>
          <t>As expected. Evidence: test/api/api.test.js (12/12 passed); test/api/consoleWorkflows.test.js (7/7 passed); test/api/salesConsole.test.js (4/4 passed)</t>
        </is>
      </c>
      <c r="H107" s="8" t="inlineStr">
        <is>
          <t>Pass</t>
        </is>
      </c>
      <c r="I107" s="8" t="inlineStr">
        <is>
          <t>API</t>
        </is>
      </c>
      <c r="J107" s="8" t="inlineStr">
        <is>
          <t>P2</t>
        </is>
      </c>
      <c r="K107" s="8" t="inlineStr">
        <is>
          <t>api</t>
        </is>
      </c>
      <c r="L107" s="8" t="inlineStr">
        <is>
          <t>—</t>
        </is>
      </c>
      <c r="M107" s="8" t="inlineStr">
        <is>
          <t>2026-10-08</t>
        </is>
      </c>
      <c r="N107" s="8" t="inlineStr">
        <is>
          <t>Automated (CI)</t>
        </is>
      </c>
      <c r="O107" s="8" t="inlineStr">
        <is>
          <t>CI (Node 22 / PostgreSQL 16)</t>
        </is>
      </c>
    </row>
    <row r="108">
      <c r="A108" s="8" t="inlineStr">
        <is>
          <t>TC-103</t>
        </is>
      </c>
      <c r="B108" s="8" t="inlineStr">
        <is>
          <t>Claims first notice of loss</t>
        </is>
      </c>
      <c r="C108" s="8" t="inlineStr">
        <is>
          <t>Illegal status change</t>
        </is>
      </c>
      <c r="D108" s="8" t="inlineStr">
        <is>
          <t>Submitted claim moved straight to paid</t>
        </is>
      </c>
      <c r="E108" s="8" t="inlineStr"/>
      <c r="F108" s="8" t="inlineStr">
        <is>
          <t>422 "Cannot move claim from submitted to paid"</t>
        </is>
      </c>
      <c r="G108" s="8" t="inlineStr">
        <is>
          <t>As expected. Evidence: test/api/api.test.js (12/12 passed); test/api/consoleWorkflows.test.js (7/7 passed); test/api/salesConsole.test.js (4/4 passed)</t>
        </is>
      </c>
      <c r="H108" s="8" t="inlineStr">
        <is>
          <t>Pass</t>
        </is>
      </c>
      <c r="I108" s="8" t="inlineStr">
        <is>
          <t>API</t>
        </is>
      </c>
      <c r="J108" s="8" t="inlineStr">
        <is>
          <t>P1</t>
        </is>
      </c>
      <c r="K108" s="8" t="inlineStr">
        <is>
          <t>api</t>
        </is>
      </c>
      <c r="L108" s="8" t="inlineStr">
        <is>
          <t>—</t>
        </is>
      </c>
      <c r="M108" s="8" t="inlineStr">
        <is>
          <t>2026-10-08</t>
        </is>
      </c>
      <c r="N108" s="8" t="inlineStr">
        <is>
          <t>Automated (CI)</t>
        </is>
      </c>
      <c r="O108" s="8" t="inlineStr">
        <is>
          <t>CI (Node 22 / PostgreSQL 16)</t>
        </is>
      </c>
    </row>
    <row r="109">
      <c r="A109" s="8" t="inlineStr">
        <is>
          <t>TC-104</t>
        </is>
      </c>
      <c r="B109" s="8" t="inlineStr">
        <is>
          <t>Claims first notice of loss</t>
        </is>
      </c>
      <c r="C109" s="8" t="inlineStr">
        <is>
          <t>Normal claim lifecycle</t>
        </is>
      </c>
      <c r="D109" s="8" t="inlineStr">
        <is>
          <t>Acknowledge, assign assessor, assess, approve, pay</t>
        </is>
      </c>
      <c r="E109" s="8" t="inlineStr"/>
      <c r="F109" s="8" t="inlineStr">
        <is>
          <t>Each 200; history of 6 entries with actor and note; 5 audit entries</t>
        </is>
      </c>
      <c r="G109" s="8" t="inlineStr">
        <is>
          <t>As expected. Evidence: test/api/api.test.js (12/12 passed); test/api/consoleWorkflows.test.js (7/7 passed); test/api/salesConsole.test.js (4/4 passed)</t>
        </is>
      </c>
      <c r="H109" s="8" t="inlineStr">
        <is>
          <t>Pass</t>
        </is>
      </c>
      <c r="I109" s="8" t="inlineStr">
        <is>
          <t>API</t>
        </is>
      </c>
      <c r="J109" s="8" t="inlineStr">
        <is>
          <t>P2</t>
        </is>
      </c>
      <c r="K109" s="8" t="inlineStr">
        <is>
          <t>api</t>
        </is>
      </c>
      <c r="L109" s="8" t="inlineStr">
        <is>
          <t>—</t>
        </is>
      </c>
      <c r="M109" s="8" t="inlineStr">
        <is>
          <t>2026-10-08</t>
        </is>
      </c>
      <c r="N109" s="8" t="inlineStr">
        <is>
          <t>Automated (CI)</t>
        </is>
      </c>
      <c r="O109" s="8" t="inlineStr">
        <is>
          <t>CI (Node 22 / PostgreSQL 16)</t>
        </is>
      </c>
    </row>
    <row r="110">
      <c r="A110" s="8" t="inlineStr">
        <is>
          <t>TC-105</t>
        </is>
      </c>
      <c r="B110" s="8" t="inlineStr">
        <is>
          <t>Privacy, encryption and audit</t>
        </is>
      </c>
      <c r="C110" s="8" t="inlineStr">
        <is>
          <t>Data subject access export</t>
        </is>
      </c>
      <c r="D110" s="8" t="inlineStr">
        <is>
          <t>compliance (MFA) exports; customer downloads own data</t>
        </is>
      </c>
      <c r="E110" s="8" t="inlineStr"/>
      <c r="F110" s="8" t="inlineStr">
        <is>
          <t>Profile, lead, policies, messages, source records and voice sessions, internal fields stripped; audit dsar.access_exported</t>
        </is>
      </c>
      <c r="G110" s="8" t="inlineStr">
        <is>
          <t>As expected. Evidence: test/api/api.test.js (12/12 passed); test/api/consoleWorkflows.test.js (7/7 passed); test/api/salesConsole.test.js (4/4 passed)</t>
        </is>
      </c>
      <c r="H110" s="8" t="inlineStr">
        <is>
          <t>Pass</t>
        </is>
      </c>
      <c r="I110" s="8" t="inlineStr">
        <is>
          <t>API</t>
        </is>
      </c>
      <c r="J110" s="8" t="inlineStr">
        <is>
          <t>P1</t>
        </is>
      </c>
      <c r="K110" s="8" t="inlineStr">
        <is>
          <t>api</t>
        </is>
      </c>
      <c r="L110" s="8" t="inlineStr">
        <is>
          <t>—</t>
        </is>
      </c>
      <c r="M110" s="8" t="inlineStr">
        <is>
          <t>2026-10-08</t>
        </is>
      </c>
      <c r="N110" s="8" t="inlineStr">
        <is>
          <t>Automated (CI)</t>
        </is>
      </c>
      <c r="O110" s="8" t="inlineStr">
        <is>
          <t>CI (Node 22 / PostgreSQL 16)</t>
        </is>
      </c>
    </row>
    <row r="111">
      <c r="A111" s="8" t="inlineStr">
        <is>
          <t>TC-106</t>
        </is>
      </c>
      <c r="B111" s="8" t="inlineStr">
        <is>
          <t>Privacy, encryption and audit</t>
        </is>
      </c>
      <c r="C111" s="8" t="inlineStr">
        <is>
          <t>Erasure refused with an active policy</t>
        </is>
      </c>
      <c r="D111" s="8" t="inlineStr">
        <is>
          <t>Profile with an active policy. Erase</t>
        </is>
      </c>
      <c r="E111" s="8" t="inlineStr"/>
      <c r="F111" s="8" t="inlineStr">
        <is>
          <t>422 "Active policy in force — personal data must be retained until expiry"; nothing changed</t>
        </is>
      </c>
      <c r="G111" s="8" t="inlineStr">
        <is>
          <t>As expected. Evidence: test/api/api.test.js (12/12 passed); test/api/consoleWorkflows.test.js (7/7 passed); test/api/salesConsole.test.js (4/4 passed)</t>
        </is>
      </c>
      <c r="H111" s="8" t="inlineStr">
        <is>
          <t>Pass</t>
        </is>
      </c>
      <c r="I111" s="8" t="inlineStr">
        <is>
          <t>API</t>
        </is>
      </c>
      <c r="J111" s="8" t="inlineStr">
        <is>
          <t>P1</t>
        </is>
      </c>
      <c r="K111" s="8" t="inlineStr">
        <is>
          <t>api</t>
        </is>
      </c>
      <c r="L111" s="8" t="inlineStr">
        <is>
          <t>—</t>
        </is>
      </c>
      <c r="M111" s="8" t="inlineStr">
        <is>
          <t>2026-10-08</t>
        </is>
      </c>
      <c r="N111" s="8" t="inlineStr">
        <is>
          <t>Automated (CI)</t>
        </is>
      </c>
      <c r="O111" s="8" t="inlineStr">
        <is>
          <t>CI (Node 22 / PostgreSQL 16)</t>
        </is>
      </c>
    </row>
    <row r="112">
      <c r="A112" s="8" t="inlineStr">
        <is>
          <t>TC-107</t>
        </is>
      </c>
      <c r="B112" s="8" t="inlineStr">
        <is>
          <t>Privacy, encryption and audit</t>
        </is>
      </c>
      <c r="C112" s="8" t="inlineStr">
        <is>
          <t>Erasure anonymises</t>
        </is>
      </c>
      <c r="D112" s="8" t="inlineStr">
        <is>
          <t>No active policy. Erase</t>
        </is>
      </c>
      <c r="E112" s="8" t="inlineStr"/>
      <c r="F112" s="8" t="inlineStr">
        <is>
          <t>Profile anonymised and DNC; lead deleted; messages, transcripts, handoff and claim personal data cleared (KI-29 fixed); sessions revoked; audit dsar.erased</t>
        </is>
      </c>
      <c r="G112" s="8" t="inlineStr">
        <is>
          <t>As expected. Evidence: test/api/api.test.js (12/12 passed); test/api/consoleWorkflows.test.js (7/7 passed); test/api/salesConsole.test.js (4/4 passed) (fix for KI-29 verified)</t>
        </is>
      </c>
      <c r="H112" s="8" t="inlineStr">
        <is>
          <t>Pass</t>
        </is>
      </c>
      <c r="I112" s="8" t="inlineStr">
        <is>
          <t>API</t>
        </is>
      </c>
      <c r="J112" s="8" t="inlineStr">
        <is>
          <t>P1</t>
        </is>
      </c>
      <c r="K112" s="8" t="inlineStr">
        <is>
          <t>api</t>
        </is>
      </c>
      <c r="L112" s="8" t="inlineStr">
        <is>
          <t>KI-29</t>
        </is>
      </c>
      <c r="M112" s="8" t="inlineStr">
        <is>
          <t>2026-10-08</t>
        </is>
      </c>
      <c r="N112" s="8" t="inlineStr">
        <is>
          <t>Automated (CI)</t>
        </is>
      </c>
      <c r="O112" s="8" t="inlineStr">
        <is>
          <t>CI (Node 22 / PostgreSQL 16)</t>
        </is>
      </c>
    </row>
    <row r="113">
      <c r="A113" s="8" t="inlineStr">
        <is>
          <t>TC-108</t>
        </is>
      </c>
      <c r="B113" s="8" t="inlineStr">
        <is>
          <t>Privacy, encryption and audit</t>
        </is>
      </c>
      <c r="C113" s="8" t="inlineStr">
        <is>
          <t>Personal data encrypted at rest</t>
        </is>
      </c>
      <c r="D113" s="8" t="inlineStr">
        <is>
          <t>Ingested profile. Read the raw row</t>
        </is>
      </c>
      <c r="E113" s="8" t="inlineStr"/>
      <c r="F113" s="8" t="inlineStr">
        <is>
          <t>Name and phones stored as enc:v1:&lt;keyId&gt;:…; phone index is an HMAC; lookup works</t>
        </is>
      </c>
      <c r="G113" s="8" t="inlineStr">
        <is>
          <t>As expected. Evidence: test/unit/platform.test.js (10/10 passed); test/pg/postgres.test.js (8/8 passed)</t>
        </is>
      </c>
      <c r="H113" s="8" t="inlineStr">
        <is>
          <t>Pass</t>
        </is>
      </c>
      <c r="I113" s="8" t="inlineStr">
        <is>
          <t>Unit/PG</t>
        </is>
      </c>
      <c r="J113" s="8" t="inlineStr">
        <is>
          <t>P1</t>
        </is>
      </c>
      <c r="K113" s="8" t="inlineStr">
        <is>
          <t>unit/platform, pg</t>
        </is>
      </c>
      <c r="L113" s="8" t="inlineStr">
        <is>
          <t>—</t>
        </is>
      </c>
      <c r="M113" s="8" t="inlineStr">
        <is>
          <t>2026-10-08</t>
        </is>
      </c>
      <c r="N113" s="8" t="inlineStr">
        <is>
          <t>Automated (CI)</t>
        </is>
      </c>
      <c r="O113" s="8" t="inlineStr">
        <is>
          <t>CI (Node 22 / PostgreSQL 16)</t>
        </is>
      </c>
    </row>
    <row r="114">
      <c r="A114" s="8" t="inlineStr">
        <is>
          <t>TC-109</t>
        </is>
      </c>
      <c r="B114" s="8" t="inlineStr">
        <is>
          <t>Privacy, encryption and audit</t>
        </is>
      </c>
      <c r="C114" s="8" t="inlineStr">
        <is>
          <t>Logs redact secrets and personal data</t>
        </is>
      </c>
      <c r="D114" s="8" t="inlineStr">
        <is>
          <t>Capture logs during sign-in, Customer 360 and key issue</t>
        </is>
      </c>
      <c r="E114" s="8" t="inlineStr"/>
      <c r="F114" s="8" t="inlineStr">
        <is>
          <t>No password, token, key, phone or name values in logs</t>
        </is>
      </c>
      <c r="G114" s="8" t="inlineStr">
        <is>
          <t>As expected. Evidence: test/security/security.test.js (12/12 passed)</t>
        </is>
      </c>
      <c r="H114" s="8" t="inlineStr">
        <is>
          <t>Pass</t>
        </is>
      </c>
      <c r="I114" s="8" t="inlineStr">
        <is>
          <t>Sec</t>
        </is>
      </c>
      <c r="J114" s="8" t="inlineStr">
        <is>
          <t>P1</t>
        </is>
      </c>
      <c r="K114" s="8" t="inlineStr">
        <is>
          <t>security</t>
        </is>
      </c>
      <c r="L114" s="8" t="inlineStr">
        <is>
          <t>—</t>
        </is>
      </c>
      <c r="M114" s="8" t="inlineStr">
        <is>
          <t>2026-10-08</t>
        </is>
      </c>
      <c r="N114" s="8" t="inlineStr">
        <is>
          <t>Automated (CI)</t>
        </is>
      </c>
      <c r="O114" s="8" t="inlineStr">
        <is>
          <t>CI (Node 22 / PostgreSQL 16)</t>
        </is>
      </c>
    </row>
    <row r="115">
      <c r="A115" s="8" t="inlineStr">
        <is>
          <t>TC-110</t>
        </is>
      </c>
      <c r="B115" s="8" t="inlineStr">
        <is>
          <t>Privacy, encryption and audit</t>
        </is>
      </c>
      <c r="C115" s="8" t="inlineStr">
        <is>
          <t>Audit immutability and tamper detection</t>
        </is>
      </c>
      <c r="D115" s="8" t="inlineStr">
        <is>
          <t>PostgreSQL. (a) App role updates, deletes and truncates the audit log. (b) Owner disables the trigger, edits row 5, re-enables; verify</t>
        </is>
      </c>
      <c r="E115" s="8" t="inlineStr"/>
      <c r="F115" s="8" t="inlineStr">
        <is>
          <t>(a) Each statement rejected. (b) Verification reports ok:false, broken at 4, "hash mismatch"</t>
        </is>
      </c>
      <c r="G115" s="8" t="inlineStr">
        <is>
          <t>As expected. Evidence: test/pg/postgres.test.js (8/8 passed)</t>
        </is>
      </c>
      <c r="H115" s="8" t="inlineStr">
        <is>
          <t>Pass</t>
        </is>
      </c>
      <c r="I115" s="8" t="inlineStr">
        <is>
          <t>PG</t>
        </is>
      </c>
      <c r="J115" s="8" t="inlineStr">
        <is>
          <t>P1</t>
        </is>
      </c>
      <c r="K115" s="8" t="inlineStr">
        <is>
          <t>(a) pg; (b) Manual (DBA)</t>
        </is>
      </c>
      <c r="L115" s="8" t="inlineStr">
        <is>
          <t>—</t>
        </is>
      </c>
      <c r="M115" s="8" t="inlineStr">
        <is>
          <t>2026-10-08</t>
        </is>
      </c>
      <c r="N115" s="8" t="inlineStr">
        <is>
          <t>Automated (CI)</t>
        </is>
      </c>
      <c r="O115" s="8" t="inlineStr">
        <is>
          <t>CI (Node 22 / PostgreSQL 16)</t>
        </is>
      </c>
    </row>
    <row r="116">
      <c r="A116" s="8" t="inlineStr">
        <is>
          <t>TC-111</t>
        </is>
      </c>
      <c r="B116" s="8" t="inlineStr">
        <is>
          <t>Privacy, encryption and audit</t>
        </is>
      </c>
      <c r="C116" s="8" t="inlineStr">
        <is>
          <t>Audit chain linear under concurrency</t>
        </is>
      </c>
      <c r="D116" s="8" t="inlineStr">
        <is>
          <t>Two instances. 500 parallel audited actions</t>
        </is>
      </c>
      <c r="E116" s="8" t="inlineStr"/>
      <c r="F116" s="8" t="inlineStr">
        <is>
          <t>Verification ok; entries = 500 plus baseline</t>
        </is>
      </c>
      <c r="G116" s="8" t="inlineStr">
        <is>
          <t>Scheduled for manual execution (accessibility / exploratory); no automated evidence in this run.</t>
        </is>
      </c>
      <c r="H116" s="8" t="inlineStr">
        <is>
          <t>Not Run</t>
        </is>
      </c>
      <c r="I116" s="8" t="inlineStr">
        <is>
          <t>PG</t>
        </is>
      </c>
      <c r="J116" s="8" t="inlineStr">
        <is>
          <t>P2</t>
        </is>
      </c>
      <c r="K116" s="8" t="inlineStr">
        <is>
          <t>Manual (PERF)</t>
        </is>
      </c>
      <c r="L116" s="8" t="inlineStr">
        <is>
          <t>—</t>
        </is>
      </c>
      <c r="M116" s="8" t="inlineStr"/>
      <c r="N116" s="8" t="inlineStr"/>
      <c r="O116" s="8" t="inlineStr"/>
    </row>
    <row r="117">
      <c r="A117" s="8" t="inlineStr">
        <is>
          <t>TC-112</t>
        </is>
      </c>
      <c r="B117" s="8" t="inlineStr">
        <is>
          <t>Operations, jobs and events</t>
        </is>
      </c>
      <c r="C117" s="8" t="inlineStr">
        <is>
          <t>Initial data load reconciles</t>
        </is>
      </c>
      <c r="D117" s="8" t="inlineStr">
        <is>
          <t>Pilot extract of N records. Load in batches and compare</t>
        </is>
      </c>
      <c r="E117" s="8" t="inlineStr"/>
      <c r="F117" s="8" t="inlineStr">
        <is>
          <t>Records = N; rejected = invalid plates; profiles = distinct valid plates; 50 random profiles match the source</t>
        </is>
      </c>
      <c r="G117" s="8" t="inlineStr">
        <is>
          <t>Scheduled for SIT with production VETC/TASCO/Zalo adapters; no automated evidence in this run.</t>
        </is>
      </c>
      <c r="H117" s="8" t="inlineStr">
        <is>
          <t>Not Run</t>
        </is>
      </c>
      <c r="I117" s="8" t="inlineStr">
        <is>
          <t>SIT/UAT</t>
        </is>
      </c>
      <c r="J117" s="8" t="inlineStr">
        <is>
          <t>P1</t>
        </is>
      </c>
      <c r="K117" s="8" t="inlineStr">
        <is>
          <t>Manual (scripted checklist)</t>
        </is>
      </c>
      <c r="L117" s="8" t="inlineStr">
        <is>
          <t>—</t>
        </is>
      </c>
      <c r="M117" s="8" t="inlineStr"/>
      <c r="N117" s="8" t="inlineStr"/>
      <c r="O117" s="8" t="inlineStr"/>
    </row>
    <row r="118">
      <c r="A118" s="8" t="inlineStr">
        <is>
          <t>TC-113</t>
        </is>
      </c>
      <c r="B118" s="8" t="inlineStr">
        <is>
          <t>Operations, jobs and events</t>
        </is>
      </c>
      <c r="C118" s="8" t="inlineStr">
        <is>
          <t>Reconciliation finds mismatches</t>
        </is>
      </c>
      <c r="D118" s="8" t="inlineStr">
        <is>
          <t>Orders: no payment reference; pending 2 hours; missing policy; compensation_failed; payment_failed. Run reconciliation</t>
        </is>
      </c>
      <c r="E118" s="8" t="inlineStr"/>
      <c r="F118" s="8" t="inlineStr">
        <is>
          <t>One mismatch per order with the expected text; job run succeeded; audit job.reconciliation</t>
        </is>
      </c>
      <c r="G118" s="8" t="inlineStr">
        <is>
          <t>As expected. Evidence: test/api/api.test.js (12/12 passed); test/api/consoleWorkflows.test.js (7/7 passed); test/api/salesConsole.test.js (4/4 passed)</t>
        </is>
      </c>
      <c r="H118" s="8" t="inlineStr">
        <is>
          <t>Pass</t>
        </is>
      </c>
      <c r="I118" s="8" t="inlineStr">
        <is>
          <t>API</t>
        </is>
      </c>
      <c r="J118" s="8" t="inlineStr">
        <is>
          <t>P1</t>
        </is>
      </c>
      <c r="K118" s="8" t="inlineStr">
        <is>
          <t>api</t>
        </is>
      </c>
      <c r="L118" s="8" t="inlineStr">
        <is>
          <t>—</t>
        </is>
      </c>
      <c r="M118" s="8" t="inlineStr">
        <is>
          <t>2026-10-08</t>
        </is>
      </c>
      <c r="N118" s="8" t="inlineStr">
        <is>
          <t>Automated (CI)</t>
        </is>
      </c>
      <c r="O118" s="8" t="inlineStr">
        <is>
          <t>CI (Node 22 / PostgreSQL 16)</t>
        </is>
      </c>
    </row>
    <row r="119">
      <c r="A119" s="8" t="inlineStr">
        <is>
          <t>TC-114</t>
        </is>
      </c>
      <c r="B119" s="8" t="inlineStr">
        <is>
          <t>Operations, jobs and events</t>
        </is>
      </c>
      <c r="C119" s="8" t="inlineStr">
        <is>
          <t>Retention job</t>
        </is>
      </c>
      <c r="D119" s="8" t="inlineStr">
        <is>
          <t>Source records 400 days old; voice sessions 200 days old. Run retention</t>
        </is>
      </c>
      <c r="E119" s="8" t="inlineStr"/>
      <c r="F119" s="8" t="inlineStr">
        <is>
          <t>Both deleted; other entities reported as archival pipeline (KI-13)</t>
        </is>
      </c>
      <c r="G119" s="8" t="inlineStr">
        <is>
          <t>Known issue KI-13 still open — expected behaviour not yet delivered; tracked in the KI register.</t>
        </is>
      </c>
      <c r="H119" s="8" t="inlineStr">
        <is>
          <t>Blocked</t>
        </is>
      </c>
      <c r="I119" s="8" t="inlineStr">
        <is>
          <t>Int</t>
        </is>
      </c>
      <c r="J119" s="8" t="inlineStr">
        <is>
          <t>P2</t>
        </is>
      </c>
      <c r="K119" s="8" t="inlineStr">
        <is>
          <t>integration/governance (blocked by KI-13)</t>
        </is>
      </c>
      <c r="L119" s="8" t="inlineStr">
        <is>
          <t>KI-13</t>
        </is>
      </c>
      <c r="M119" s="8" t="inlineStr"/>
      <c r="N119" s="8" t="inlineStr"/>
      <c r="O119" s="8" t="inlineStr"/>
    </row>
    <row r="120">
      <c r="A120" s="8" t="inlineStr">
        <is>
          <t>TC-115</t>
        </is>
      </c>
      <c r="B120" s="8" t="inlineStr">
        <is>
          <t>Operations, jobs and events</t>
        </is>
      </c>
      <c r="C120" s="8" t="inlineStr">
        <is>
          <t>Outbox retry then dead letter</t>
        </is>
      </c>
      <c r="D120" s="8" t="inlineStr">
        <is>
          <t>Subscriber that always fails. Publish; relay 5 times</t>
        </is>
      </c>
      <c r="E120" s="8" t="inlineStr"/>
      <c r="F120" s="8" t="inlineStr">
        <is>
          <t>Attempts 1 to 5; then dead_letter with last error; succeeded handlers not re-run</t>
        </is>
      </c>
      <c r="G120" s="8" t="inlineStr">
        <is>
          <t>As expected. Evidence: test/unit/stores.test.js (3/3 passed)</t>
        </is>
      </c>
      <c r="H120" s="8" t="inlineStr">
        <is>
          <t>Pass</t>
        </is>
      </c>
      <c r="I120" s="8" t="inlineStr">
        <is>
          <t>Unit</t>
        </is>
      </c>
      <c r="J120" s="8" t="inlineStr">
        <is>
          <t>P1</t>
        </is>
      </c>
      <c r="K120" s="8" t="inlineStr">
        <is>
          <t>unit/stores</t>
        </is>
      </c>
      <c r="L120" s="8" t="inlineStr">
        <is>
          <t>—</t>
        </is>
      </c>
      <c r="M120" s="8" t="inlineStr">
        <is>
          <t>2026-10-08</t>
        </is>
      </c>
      <c r="N120" s="8" t="inlineStr">
        <is>
          <t>Automated (CI)</t>
        </is>
      </c>
      <c r="O120" s="8" t="inlineStr">
        <is>
          <t>CI (Node 22 / PostgreSQL 16)</t>
        </is>
      </c>
    </row>
    <row r="121">
      <c r="A121" s="8" t="inlineStr">
        <is>
          <t>TC-116</t>
        </is>
      </c>
      <c r="B121" s="8" t="inlineStr">
        <is>
          <t>Operations, jobs and events</t>
        </is>
      </c>
      <c r="C121" s="8" t="inlineStr">
        <is>
          <t>Graceful shutdown</t>
        </is>
      </c>
      <c r="D121" s="8" t="inlineStr">
        <is>
          <t>Light load. Send SIGTERM</t>
        </is>
      </c>
      <c r="E121" s="8" t="inlineStr"/>
      <c r="F121" s="8" t="inlineStr">
        <is>
          <t>Readiness 503 at once; in-flight requests finish; exit 0 within 25 s</t>
        </is>
      </c>
      <c r="G121" s="8" t="inlineStr">
        <is>
          <t>Scheduled for NFT / DR test window; no automated evidence in this run.</t>
        </is>
      </c>
      <c r="H121" s="8" t="inlineStr">
        <is>
          <t>Not Run</t>
        </is>
      </c>
      <c r="I121" s="8" t="inlineStr">
        <is>
          <t>NFT</t>
        </is>
      </c>
      <c r="J121" s="8" t="inlineStr">
        <is>
          <t>P2</t>
        </is>
      </c>
      <c r="K121" s="8" t="inlineStr">
        <is>
          <t>Manual (Kubernetes drill)</t>
        </is>
      </c>
      <c r="L121" s="8" t="inlineStr">
        <is>
          <t>—</t>
        </is>
      </c>
      <c r="M121" s="8" t="inlineStr"/>
      <c r="N121" s="8" t="inlineStr"/>
      <c r="O121" s="8" t="inlineStr"/>
    </row>
    <row r="122">
      <c r="A122" s="8" t="inlineStr">
        <is>
          <t>TC-117</t>
        </is>
      </c>
      <c r="B122" s="8" t="inlineStr">
        <is>
          <t>HTTP pipeline and platform security</t>
        </is>
      </c>
      <c r="C122" s="8" t="inlineStr">
        <is>
          <t>Unknown body properties rejected</t>
        </is>
      </c>
      <c r="D122" s="8" t="inlineStr">
        <is>
          <t>Create a quote with an extra discount field</t>
        </is>
      </c>
      <c r="E122" s="8" t="inlineStr"/>
      <c r="F122" s="8" t="inlineStr">
        <is>
          <t>400 VALIDATION_FAILED "discount is not allowed"</t>
        </is>
      </c>
      <c r="G122" s="8" t="inlineStr">
        <is>
          <t>As expected. Evidence: test/api/api.test.js (12/12 passed); test/api/consoleWorkflows.test.js (7/7 passed); test/api/salesConsole.test.js (4/4 passed)</t>
        </is>
      </c>
      <c r="H122" s="8" t="inlineStr">
        <is>
          <t>Pass</t>
        </is>
      </c>
      <c r="I122" s="8" t="inlineStr">
        <is>
          <t>API</t>
        </is>
      </c>
      <c r="J122" s="8" t="inlineStr">
        <is>
          <t>P1</t>
        </is>
      </c>
      <c r="K122" s="8" t="inlineStr">
        <is>
          <t>api</t>
        </is>
      </c>
      <c r="L122" s="8" t="inlineStr">
        <is>
          <t>—</t>
        </is>
      </c>
      <c r="M122" s="8" t="inlineStr">
        <is>
          <t>2026-10-08</t>
        </is>
      </c>
      <c r="N122" s="8" t="inlineStr">
        <is>
          <t>Automated (CI)</t>
        </is>
      </c>
      <c r="O122" s="8" t="inlineStr">
        <is>
          <t>CI (Node 22 / PostgreSQL 16)</t>
        </is>
      </c>
    </row>
    <row r="123">
      <c r="A123" s="8" t="inlineStr">
        <is>
          <t>TC-118</t>
        </is>
      </c>
      <c r="B123" s="8" t="inlineStr">
        <is>
          <t>HTTP pipeline and platform security</t>
        </is>
      </c>
      <c r="C123" s="8" t="inlineStr">
        <is>
          <t>Oversized body</t>
        </is>
      </c>
      <c r="D123" s="8" t="inlineStr">
        <is>
          <t>Post 1 MiB plus 1 byte to sign-in</t>
        </is>
      </c>
      <c r="E123" s="8" t="inlineStr"/>
      <c r="F123" s="8" t="inlineStr">
        <is>
          <t>413 PAYLOAD_TOO_LARGE</t>
        </is>
      </c>
      <c r="G123" s="8" t="inlineStr">
        <is>
          <t>As expected. Evidence: test/security/security.test.js (12/12 passed)</t>
        </is>
      </c>
      <c r="H123" s="8" t="inlineStr">
        <is>
          <t>Pass</t>
        </is>
      </c>
      <c r="I123" s="8" t="inlineStr">
        <is>
          <t>Sec</t>
        </is>
      </c>
      <c r="J123" s="8" t="inlineStr">
        <is>
          <t>P1</t>
        </is>
      </c>
      <c r="K123" s="8" t="inlineStr">
        <is>
          <t>security</t>
        </is>
      </c>
      <c r="L123" s="8" t="inlineStr">
        <is>
          <t>—</t>
        </is>
      </c>
      <c r="M123" s="8" t="inlineStr">
        <is>
          <t>2026-10-08</t>
        </is>
      </c>
      <c r="N123" s="8" t="inlineStr">
        <is>
          <t>Automated (CI)</t>
        </is>
      </c>
      <c r="O123" s="8" t="inlineStr">
        <is>
          <t>CI (Node 22 / PostgreSQL 16)</t>
        </is>
      </c>
    </row>
    <row r="124">
      <c r="A124" s="8" t="inlineStr">
        <is>
          <t>TC-119</t>
        </is>
      </c>
      <c r="B124" s="8" t="inlineStr">
        <is>
          <t>HTTP pipeline and platform security</t>
        </is>
      </c>
      <c r="C124" s="8" t="inlineStr">
        <is>
          <t>Wrong content type</t>
        </is>
      </c>
      <c r="D124" s="8" t="inlineStr">
        <is>
          <t>Post text/plain to sign-in</t>
        </is>
      </c>
      <c r="E124" s="8" t="inlineStr"/>
      <c r="F124" s="8" t="inlineStr">
        <is>
          <t>415 UNSUPPORTED_MEDIA_TYPE</t>
        </is>
      </c>
      <c r="G124" s="8" t="inlineStr">
        <is>
          <t>As expected. Evidence: test/security/security.test.js (12/12 passed)</t>
        </is>
      </c>
      <c r="H124" s="8" t="inlineStr">
        <is>
          <t>Pass</t>
        </is>
      </c>
      <c r="I124" s="8" t="inlineStr">
        <is>
          <t>Sec</t>
        </is>
      </c>
      <c r="J124" s="8" t="inlineStr">
        <is>
          <t>P1</t>
        </is>
      </c>
      <c r="K124" s="8" t="inlineStr">
        <is>
          <t>security</t>
        </is>
      </c>
      <c r="L124" s="8" t="inlineStr">
        <is>
          <t>—</t>
        </is>
      </c>
      <c r="M124" s="8" t="inlineStr">
        <is>
          <t>2026-10-08</t>
        </is>
      </c>
      <c r="N124" s="8" t="inlineStr">
        <is>
          <t>Automated (CI)</t>
        </is>
      </c>
      <c r="O124" s="8" t="inlineStr">
        <is>
          <t>CI (Node 22 / PostgreSQL 16)</t>
        </is>
      </c>
    </row>
    <row r="125">
      <c r="A125" s="8" t="inlineStr">
        <is>
          <t>TC-120</t>
        </is>
      </c>
      <c r="B125" s="8" t="inlineStr">
        <is>
          <t>HTTP pipeline and platform security</t>
        </is>
      </c>
      <c r="C125" s="8" t="inlineStr">
        <is>
          <t>Path traversal on static files</t>
        </is>
      </c>
      <c r="D125" s="8" t="inlineStr">
        <is>
          <t>Three traversal paths</t>
        </is>
      </c>
      <c r="E125" s="8" t="inlineStr"/>
      <c r="F125" s="8" t="inlineStr">
        <is>
          <t>404 each; no file outside public/</t>
        </is>
      </c>
      <c r="G125" s="8" t="inlineStr">
        <is>
          <t>As expected. Evidence: test/security/security.test.js (12/12 passed)</t>
        </is>
      </c>
      <c r="H125" s="8" t="inlineStr">
        <is>
          <t>Pass</t>
        </is>
      </c>
      <c r="I125" s="8" t="inlineStr">
        <is>
          <t>Sec</t>
        </is>
      </c>
      <c r="J125" s="8" t="inlineStr">
        <is>
          <t>P1</t>
        </is>
      </c>
      <c r="K125" s="8" t="inlineStr">
        <is>
          <t>security</t>
        </is>
      </c>
      <c r="L125" s="8" t="inlineStr">
        <is>
          <t>—</t>
        </is>
      </c>
      <c r="M125" s="8" t="inlineStr">
        <is>
          <t>2026-10-08</t>
        </is>
      </c>
      <c r="N125" s="8" t="inlineStr">
        <is>
          <t>Automated (CI)</t>
        </is>
      </c>
      <c r="O125" s="8" t="inlineStr">
        <is>
          <t>CI (Node 22 / PostgreSQL 16)</t>
        </is>
      </c>
    </row>
    <row r="126">
      <c r="A126" s="8" t="inlineStr">
        <is>
          <t>TC-121</t>
        </is>
      </c>
      <c r="B126" s="8" t="inlineStr">
        <is>
          <t>HTTP pipeline and platform security</t>
        </is>
      </c>
      <c r="C126" s="8" t="inlineStr">
        <is>
          <t>Sign-in rate limit</t>
        </is>
      </c>
      <c r="D126" s="8" t="inlineStr">
        <is>
          <t>11 sign-ins in 60 s from one IP</t>
        </is>
      </c>
      <c r="E126" s="8" t="inlineStr"/>
      <c r="F126" s="8" t="inlineStr">
        <is>
          <t>11th: 429 RATE_LIMITED, Retry-After: 60</t>
        </is>
      </c>
      <c r="G126" s="8" t="inlineStr">
        <is>
          <t>As expected. Evidence: test/security/security.test.js (12/12 passed)</t>
        </is>
      </c>
      <c r="H126" s="8" t="inlineStr">
        <is>
          <t>Pass</t>
        </is>
      </c>
      <c r="I126" s="8" t="inlineStr">
        <is>
          <t>Sec</t>
        </is>
      </c>
      <c r="J126" s="8" t="inlineStr">
        <is>
          <t>P1</t>
        </is>
      </c>
      <c r="K126" s="8" t="inlineStr">
        <is>
          <t>security</t>
        </is>
      </c>
      <c r="L126" s="8" t="inlineStr">
        <is>
          <t>—</t>
        </is>
      </c>
      <c r="M126" s="8" t="inlineStr">
        <is>
          <t>2026-10-08</t>
        </is>
      </c>
      <c r="N126" s="8" t="inlineStr">
        <is>
          <t>Automated (CI)</t>
        </is>
      </c>
      <c r="O126" s="8" t="inlineStr">
        <is>
          <t>CI (Node 22 / PostgreSQL 16)</t>
        </is>
      </c>
    </row>
    <row r="127">
      <c r="A127" s="8" t="inlineStr">
        <is>
          <t>TC-122</t>
        </is>
      </c>
      <c r="B127" s="8" t="inlineStr">
        <is>
          <t>HTTP pipeline and platform security</t>
        </is>
      </c>
      <c r="C127" s="8" t="inlineStr">
        <is>
          <t>Global rate limit</t>
        </is>
      </c>
      <c r="D127" s="8" t="inlineStr">
        <is>
          <t>Exceed the per-IP budget (certificate check costs 2)</t>
        </is>
      </c>
      <c r="E127" s="8" t="inlineStr"/>
      <c r="F127" s="8" t="inlineStr">
        <is>
          <t>429 with Retry-After</t>
        </is>
      </c>
      <c r="G127" s="8" t="inlineStr">
        <is>
          <t>As expected. Evidence: test/security/security.test.js (12/12 passed)</t>
        </is>
      </c>
      <c r="H127" s="8" t="inlineStr">
        <is>
          <t>Pass</t>
        </is>
      </c>
      <c r="I127" s="8" t="inlineStr">
        <is>
          <t>Sec</t>
        </is>
      </c>
      <c r="J127" s="8" t="inlineStr">
        <is>
          <t>P1</t>
        </is>
      </c>
      <c r="K127" s="8" t="inlineStr">
        <is>
          <t>security</t>
        </is>
      </c>
      <c r="L127" s="8" t="inlineStr">
        <is>
          <t>—</t>
        </is>
      </c>
      <c r="M127" s="8" t="inlineStr">
        <is>
          <t>2026-10-08</t>
        </is>
      </c>
      <c r="N127" s="8" t="inlineStr">
        <is>
          <t>Automated (CI)</t>
        </is>
      </c>
      <c r="O127" s="8" t="inlineStr">
        <is>
          <t>CI (Node 22 / PostgreSQL 16)</t>
        </is>
      </c>
    </row>
    <row r="128">
      <c r="A128" s="8" t="inlineStr">
        <is>
          <t>TC-123</t>
        </is>
      </c>
      <c r="B128" s="8" t="inlineStr">
        <is>
          <t>HTTP pipeline and platform security</t>
        </is>
      </c>
      <c r="C128" s="8" t="inlineStr">
        <is>
          <t>SQL injection in filters</t>
        </is>
      </c>
      <c r="D128" s="8" t="inlineStr">
        <is>
          <t>PostgreSQL. Injection strings in region, tier and audit filters</t>
        </is>
      </c>
      <c r="E128" s="8" t="inlineStr"/>
      <c r="F128" s="8" t="inlineStr">
        <is>
          <t>Region literal (0 rows); tier 400; audit 200 empty; tables intact</t>
        </is>
      </c>
      <c r="G128" s="8" t="inlineStr">
        <is>
          <t>As expected. Evidence: test/pg/postgres.test.js (8/8 passed); test/security/security.test.js (12/12 passed)</t>
        </is>
      </c>
      <c r="H128" s="8" t="inlineStr">
        <is>
          <t>Pass</t>
        </is>
      </c>
      <c r="I128" s="8" t="inlineStr">
        <is>
          <t>PG/Sec</t>
        </is>
      </c>
      <c r="J128" s="8" t="inlineStr">
        <is>
          <t>P1</t>
        </is>
      </c>
      <c r="K128" s="8" t="inlineStr">
        <is>
          <t>pg, security</t>
        </is>
      </c>
      <c r="L128" s="8" t="inlineStr">
        <is>
          <t>—</t>
        </is>
      </c>
      <c r="M128" s="8" t="inlineStr">
        <is>
          <t>2026-10-08</t>
        </is>
      </c>
      <c r="N128" s="8" t="inlineStr">
        <is>
          <t>Automated (CI)</t>
        </is>
      </c>
      <c r="O128" s="8" t="inlineStr">
        <is>
          <t>CI (Node 22 / PostgreSQL 16)</t>
        </is>
      </c>
    </row>
    <row r="129">
      <c r="A129" s="8" t="inlineStr">
        <is>
          <t>TC-124</t>
        </is>
      </c>
      <c r="B129" s="8" t="inlineStr">
        <is>
          <t>HTTP pipeline and platform security</t>
        </is>
      </c>
      <c r="C129" s="8" t="inlineStr">
        <is>
          <t>SQL injection in path and sort</t>
        </is>
      </c>
      <c r="D129" s="8" t="inlineStr">
        <is>
          <t>PostgreSQL. Injected customer ID; injected sort</t>
        </is>
      </c>
      <c r="E129" s="8" t="inlineStr"/>
      <c r="F129" s="8" t="inlineStr">
        <is>
          <t>404; 400 for sort. Columns never taken from input</t>
        </is>
      </c>
      <c r="G129" s="8" t="inlineStr">
        <is>
          <t>As expected. Evidence: test/pg/postgres.test.js (8/8 passed); test/security/security.test.js (12/12 passed)</t>
        </is>
      </c>
      <c r="H129" s="8" t="inlineStr">
        <is>
          <t>Pass</t>
        </is>
      </c>
      <c r="I129" s="8" t="inlineStr">
        <is>
          <t>PG/Sec</t>
        </is>
      </c>
      <c r="J129" s="8" t="inlineStr">
        <is>
          <t>P1</t>
        </is>
      </c>
      <c r="K129" s="8" t="inlineStr">
        <is>
          <t>pg, security</t>
        </is>
      </c>
      <c r="L129" s="8" t="inlineStr">
        <is>
          <t>—</t>
        </is>
      </c>
      <c r="M129" s="8" t="inlineStr">
        <is>
          <t>2026-10-08</t>
        </is>
      </c>
      <c r="N129" s="8" t="inlineStr">
        <is>
          <t>Automated (CI)</t>
        </is>
      </c>
      <c r="O129" s="8" t="inlineStr">
        <is>
          <t>CI (Node 22 / PostgreSQL 16)</t>
        </is>
      </c>
    </row>
    <row r="130">
      <c r="A130" s="8" t="inlineStr">
        <is>
          <t>TC-125</t>
        </is>
      </c>
      <c r="B130" s="8" t="inlineStr">
        <is>
          <t>HTTP pipeline and platform security</t>
        </is>
      </c>
      <c r="C130" s="8" t="inlineStr">
        <is>
          <t>Security headers</t>
        </is>
      </c>
      <c r="D130" s="8" t="inlineStr">
        <is>
          <t>Production mode. Any request</t>
        </is>
      </c>
      <c r="E130" s="8" t="inlineStr"/>
      <c r="F130" s="8" t="inlineStr">
        <is>
          <t>CSP with frame-ancestors 'none', nosniff, DENY, no-referrer, HSTS in production, no X-Powered-By, API no-store</t>
        </is>
      </c>
      <c r="G130" s="8" t="inlineStr">
        <is>
          <t>As expected. Evidence: test/security/security.test.js (12/12 passed)</t>
        </is>
      </c>
      <c r="H130" s="8" t="inlineStr">
        <is>
          <t>Pass</t>
        </is>
      </c>
      <c r="I130" s="8" t="inlineStr">
        <is>
          <t>Sec</t>
        </is>
      </c>
      <c r="J130" s="8" t="inlineStr">
        <is>
          <t>P1</t>
        </is>
      </c>
      <c r="K130" s="8" t="inlineStr">
        <is>
          <t>security</t>
        </is>
      </c>
      <c r="L130" s="8" t="inlineStr">
        <is>
          <t>—</t>
        </is>
      </c>
      <c r="M130" s="8" t="inlineStr">
        <is>
          <t>2026-10-08</t>
        </is>
      </c>
      <c r="N130" s="8" t="inlineStr">
        <is>
          <t>Automated (CI)</t>
        </is>
      </c>
      <c r="O130" s="8" t="inlineStr">
        <is>
          <t>CI (Node 22 / PostgreSQL 16)</t>
        </is>
      </c>
    </row>
    <row r="131">
      <c r="A131" s="8" t="inlineStr">
        <is>
          <t>TC-126</t>
        </is>
      </c>
      <c r="B131" s="8" t="inlineStr">
        <is>
          <t>HTTP pipeline and platform security</t>
        </is>
      </c>
      <c r="C131" s="8" t="inlineStr">
        <is>
          <t>CORS allow-list</t>
        </is>
      </c>
      <c r="D131" s="8" t="inlineStr">
        <is>
          <t>Allowed origin set. Request from another origin</t>
        </is>
      </c>
      <c r="E131" s="8" t="inlineStr"/>
      <c r="F131" s="8" t="inlineStr">
        <is>
          <t>403 "Origin not allowed"; allowed origin echoed with Vary: Origin</t>
        </is>
      </c>
      <c r="G131" s="8" t="inlineStr">
        <is>
          <t>As expected. Evidence: test/security/security.test.js (12/12 passed)</t>
        </is>
      </c>
      <c r="H131" s="8" t="inlineStr">
        <is>
          <t>Pass</t>
        </is>
      </c>
      <c r="I131" s="8" t="inlineStr">
        <is>
          <t>Sec</t>
        </is>
      </c>
      <c r="J131" s="8" t="inlineStr">
        <is>
          <t>P1</t>
        </is>
      </c>
      <c r="K131" s="8" t="inlineStr">
        <is>
          <t>security</t>
        </is>
      </c>
      <c r="L131" s="8" t="inlineStr">
        <is>
          <t>—</t>
        </is>
      </c>
      <c r="M131" s="8" t="inlineStr">
        <is>
          <t>2026-10-08</t>
        </is>
      </c>
      <c r="N131" s="8" t="inlineStr">
        <is>
          <t>Automated (CI)</t>
        </is>
      </c>
      <c r="O131" s="8" t="inlineStr">
        <is>
          <t>CI (Node 22 / PostgreSQL 16)</t>
        </is>
      </c>
    </row>
    <row r="132">
      <c r="A132" s="8" t="inlineStr">
        <is>
          <t>TC-127</t>
        </is>
      </c>
      <c r="B132" s="8" t="inlineStr">
        <is>
          <t>HTTP pipeline and platform security</t>
        </is>
      </c>
      <c r="C132" s="8" t="inlineStr">
        <is>
          <t>Method not allowed</t>
        </is>
      </c>
      <c r="D132" s="8" t="inlineStr">
        <is>
          <t>DELETE /api/leads</t>
        </is>
      </c>
      <c r="E132" s="8" t="inlineStr"/>
      <c r="F132" s="8" t="inlineStr">
        <is>
          <t>405 METHOD_NOT_ALLOWED</t>
        </is>
      </c>
      <c r="G132" s="8" t="inlineStr">
        <is>
          <t>As expected. Evidence: test/api/api.test.js (12/12 passed); test/api/consoleWorkflows.test.js (7/7 passed); test/api/salesConsole.test.js (4/4 passed)</t>
        </is>
      </c>
      <c r="H132" s="8" t="inlineStr">
        <is>
          <t>Pass</t>
        </is>
      </c>
      <c r="I132" s="8" t="inlineStr">
        <is>
          <t>API</t>
        </is>
      </c>
      <c r="J132" s="8" t="inlineStr">
        <is>
          <t>P3</t>
        </is>
      </c>
      <c r="K132" s="8" t="inlineStr">
        <is>
          <t>api</t>
        </is>
      </c>
      <c r="L132" s="8" t="inlineStr">
        <is>
          <t>—</t>
        </is>
      </c>
      <c r="M132" s="8" t="inlineStr">
        <is>
          <t>2026-10-08</t>
        </is>
      </c>
      <c r="N132" s="8" t="inlineStr">
        <is>
          <t>Automated (CI)</t>
        </is>
      </c>
      <c r="O132" s="8" t="inlineStr">
        <is>
          <t>CI (Node 22 / PostgreSQL 16)</t>
        </is>
      </c>
    </row>
    <row r="133">
      <c r="A133" s="8" t="inlineStr">
        <is>
          <t>TC-128</t>
        </is>
      </c>
      <c r="B133" s="8" t="inlineStr">
        <is>
          <t>HTTP pipeline and platform security</t>
        </is>
      </c>
      <c r="C133" s="8" t="inlineStr">
        <is>
          <t>Request ID propagation</t>
        </is>
      </c>
      <c r="D133" s="8" t="inlineStr">
        <is>
          <t>Send a valid and an invalid X-Request-Id</t>
        </is>
      </c>
      <c r="E133" s="8" t="inlineStr"/>
      <c r="F133" s="8" t="inlineStr">
        <is>
          <t>Valid echoed; invalid replaced by a UUID; error bodies and logs carry it</t>
        </is>
      </c>
      <c r="G133" s="8" t="inlineStr">
        <is>
          <t>As expected. Evidence: test/api/api.test.js (12/12 passed); test/api/consoleWorkflows.test.js (7/7 passed); test/api/salesConsole.test.js (4/4 passed)</t>
        </is>
      </c>
      <c r="H133" s="8" t="inlineStr">
        <is>
          <t>Pass</t>
        </is>
      </c>
      <c r="I133" s="8" t="inlineStr">
        <is>
          <t>API</t>
        </is>
      </c>
      <c r="J133" s="8" t="inlineStr">
        <is>
          <t>P2</t>
        </is>
      </c>
      <c r="K133" s="8" t="inlineStr">
        <is>
          <t>api</t>
        </is>
      </c>
      <c r="L133" s="8" t="inlineStr">
        <is>
          <t>—</t>
        </is>
      </c>
      <c r="M133" s="8" t="inlineStr">
        <is>
          <t>2026-10-08</t>
        </is>
      </c>
      <c r="N133" s="8" t="inlineStr">
        <is>
          <t>Automated (CI)</t>
        </is>
      </c>
      <c r="O133" s="8" t="inlineStr">
        <is>
          <t>CI (Node 22 / PostgreSQL 16)</t>
        </is>
      </c>
    </row>
    <row r="134">
      <c r="A134" s="8" t="inlineStr">
        <is>
          <t>TC-129</t>
        </is>
      </c>
      <c r="B134" s="8" t="inlineStr">
        <is>
          <t>HTTP pipeline and platform security</t>
        </is>
      </c>
      <c r="C134" s="8" t="inlineStr">
        <is>
          <t>Malformed percent-encoding</t>
        </is>
      </c>
      <c r="D134" s="8" t="inlineStr">
        <is>
          <t>GET /api/customers/%E0%A4%A</t>
        </is>
      </c>
      <c r="E134" s="8" t="inlineStr"/>
      <c r="F134" s="8" t="inlineStr">
        <is>
          <t>400 "Malformed path parameter" (KI-11 fixed); no unhandled error</t>
        </is>
      </c>
      <c r="G134" s="8" t="inlineStr">
        <is>
          <t>As expected. Evidence: test/api/api.test.js (12/12 passed); test/api/consoleWorkflows.test.js (7/7 passed); test/api/salesConsole.test.js (4/4 passed) (fix for KI-11 verified)</t>
        </is>
      </c>
      <c r="H134" s="8" t="inlineStr">
        <is>
          <t>Pass</t>
        </is>
      </c>
      <c r="I134" s="8" t="inlineStr">
        <is>
          <t>API</t>
        </is>
      </c>
      <c r="J134" s="8" t="inlineStr">
        <is>
          <t>P3</t>
        </is>
      </c>
      <c r="K134" s="8" t="inlineStr">
        <is>
          <t>api</t>
        </is>
      </c>
      <c r="L134" s="8" t="inlineStr">
        <is>
          <t>KI-11</t>
        </is>
      </c>
      <c r="M134" s="8" t="inlineStr">
        <is>
          <t>2026-10-08</t>
        </is>
      </c>
      <c r="N134" s="8" t="inlineStr">
        <is>
          <t>Automated (CI)</t>
        </is>
      </c>
      <c r="O134" s="8" t="inlineStr">
        <is>
          <t>CI (Node 22 / PostgreSQL 16)</t>
        </is>
      </c>
    </row>
    <row r="135">
      <c r="A135" s="8" t="inlineStr">
        <is>
          <t>TC-130</t>
        </is>
      </c>
      <c r="B135" s="8" t="inlineStr">
        <is>
          <t>HTTP pipeline and platform security</t>
        </is>
      </c>
      <c r="C135" s="8" t="inlineStr">
        <is>
          <t>Idempotency-Key required</t>
        </is>
      </c>
      <c r="D135" s="8" t="inlineStr">
        <is>
          <t>Customer pays without the header; with abc</t>
        </is>
      </c>
      <c r="E135" s="8" t="inlineStr"/>
      <c r="F135" s="8" t="inlineStr">
        <is>
          <t>400 "Idempotency-Key header (8–100 chars) is required"</t>
        </is>
      </c>
      <c r="G135" s="8" t="inlineStr">
        <is>
          <t>As expected. Evidence: test/api/api.test.js (12/12 passed); test/api/consoleWorkflows.test.js (7/7 passed); test/api/salesConsole.test.js (4/4 passed)</t>
        </is>
      </c>
      <c r="H135" s="8" t="inlineStr">
        <is>
          <t>Pass</t>
        </is>
      </c>
      <c r="I135" s="8" t="inlineStr">
        <is>
          <t>API</t>
        </is>
      </c>
      <c r="J135" s="8" t="inlineStr">
        <is>
          <t>P1</t>
        </is>
      </c>
      <c r="K135" s="8" t="inlineStr">
        <is>
          <t>api</t>
        </is>
      </c>
      <c r="L135" s="8" t="inlineStr">
        <is>
          <t>—</t>
        </is>
      </c>
      <c r="M135" s="8" t="inlineStr">
        <is>
          <t>2026-10-08</t>
        </is>
      </c>
      <c r="N135" s="8" t="inlineStr">
        <is>
          <t>Automated (CI)</t>
        </is>
      </c>
      <c r="O135" s="8" t="inlineStr">
        <is>
          <t>CI (Node 22 / PostgreSQL 16)</t>
        </is>
      </c>
    </row>
    <row r="136">
      <c r="A136" s="8" t="inlineStr">
        <is>
          <t>TC-131</t>
        </is>
      </c>
      <c r="B136" s="8" t="inlineStr">
        <is>
          <t>HTTP pipeline and platform security</t>
        </is>
      </c>
      <c r="C136" s="8" t="inlineStr">
        <is>
          <t>Health probes</t>
        </is>
      </c>
      <c r="D136" s="8" t="inlineStr">
        <is>
          <t>PostgreSQL. Live; ready; stop the database; ready</t>
        </is>
      </c>
      <c r="E136" s="8" t="inlineStr"/>
      <c r="F136" s="8" t="inlineStr">
        <is>
          <t>Live 200. Ready 200 with store postgres. Database down: ready 503, live 200</t>
        </is>
      </c>
      <c r="G136" s="8" t="inlineStr">
        <is>
          <t>As expected. Evidence: test/api/api.test.js (12/12 passed); test/api/consoleWorkflows.test.js (7/7 passed); test/api/salesConsole.test.js (4/4 passed)</t>
        </is>
      </c>
      <c r="H136" s="8" t="inlineStr">
        <is>
          <t>Pass</t>
        </is>
      </c>
      <c r="I136" s="8" t="inlineStr">
        <is>
          <t>PG</t>
        </is>
      </c>
      <c r="J136" s="8" t="inlineStr">
        <is>
          <t>P1</t>
        </is>
      </c>
      <c r="K136" s="8" t="inlineStr">
        <is>
          <t>api (live, ready); database-down step Manual (PREPROD)</t>
        </is>
      </c>
      <c r="L136" s="8" t="inlineStr">
        <is>
          <t>—</t>
        </is>
      </c>
      <c r="M136" s="8" t="inlineStr">
        <is>
          <t>2026-10-08</t>
        </is>
      </c>
      <c r="N136" s="8" t="inlineStr">
        <is>
          <t>Automated (CI)</t>
        </is>
      </c>
      <c r="O136" s="8" t="inlineStr">
        <is>
          <t>CI (Node 22 / PostgreSQL 16)</t>
        </is>
      </c>
    </row>
    <row r="137">
      <c r="A137" s="8" t="inlineStr">
        <is>
          <t>TC-132</t>
        </is>
      </c>
      <c r="B137" s="8" t="inlineStr">
        <is>
          <t>HTTP pipeline and platform security</t>
        </is>
      </c>
      <c r="C137" s="8" t="inlineStr">
        <is>
          <t>Metrics protected and complete</t>
        </is>
      </c>
      <c r="D137" s="8" t="inlineStr">
        <is>
          <t>Metrics token set. Read /metrics without, then with, the token</t>
        </is>
      </c>
      <c r="E137" s="8" t="inlineStr"/>
      <c r="F137" s="8" t="inlineStr">
        <is>
          <t>Without: 401. With: request, latency, quote, order, integration, event and memory series</t>
        </is>
      </c>
      <c r="G137" s="8" t="inlineStr">
        <is>
          <t>As expected. Evidence: test/api/api.test.js (12/12 passed); test/api/consoleWorkflows.test.js (7/7 passed); test/api/salesConsole.test.js (4/4 passed)</t>
        </is>
      </c>
      <c r="H137" s="8" t="inlineStr">
        <is>
          <t>Pass</t>
        </is>
      </c>
      <c r="I137" s="8" t="inlineStr">
        <is>
          <t>API</t>
        </is>
      </c>
      <c r="J137" s="8" t="inlineStr">
        <is>
          <t>P2</t>
        </is>
      </c>
      <c r="K137" s="8" t="inlineStr">
        <is>
          <t>api</t>
        </is>
      </c>
      <c r="L137" s="8" t="inlineStr">
        <is>
          <t>—</t>
        </is>
      </c>
      <c r="M137" s="8" t="inlineStr">
        <is>
          <t>2026-10-08</t>
        </is>
      </c>
      <c r="N137" s="8" t="inlineStr">
        <is>
          <t>Automated (CI)</t>
        </is>
      </c>
      <c r="O137" s="8" t="inlineStr">
        <is>
          <t>CI (Node 22 / PostgreSQL 16)</t>
        </is>
      </c>
    </row>
    <row r="138">
      <c r="A138" s="8" t="inlineStr">
        <is>
          <t>TC-133</t>
        </is>
      </c>
      <c r="B138" s="8" t="inlineStr">
        <is>
          <t>HTTP pipeline and platform security</t>
        </is>
      </c>
      <c r="C138" s="8" t="inlineStr">
        <is>
          <t>OpenAPI contract complete</t>
        </is>
      </c>
      <c r="D138" s="8" t="inlineStr">
        <is>
          <t>GET /api/openapi.json</t>
        </is>
      </c>
      <c r="E138" s="8" t="inlineStr"/>
      <c r="F138" s="8" t="inlineStr">
        <is>
          <t>OpenAPI 3.1.0; one operation per route (103 operations on 92 paths); security per audience; key required on both order routes; strict bodies; equals the committed copy</t>
        </is>
      </c>
      <c r="G138" s="8" t="inlineStr">
        <is>
          <t>As expected. Evidence: test/api/api.test.js (12/12 passed); test/api/consoleWorkflows.test.js (7/7 passed); test/api/salesConsole.test.js (4/4 passed)</t>
        </is>
      </c>
      <c r="H138" s="8" t="inlineStr">
        <is>
          <t>Pass</t>
        </is>
      </c>
      <c r="I138" s="8" t="inlineStr">
        <is>
          <t>API</t>
        </is>
      </c>
      <c r="J138" s="8" t="inlineStr">
        <is>
          <t>P1</t>
        </is>
      </c>
      <c r="K138" s="8" t="inlineStr">
        <is>
          <t>api</t>
        </is>
      </c>
      <c r="L138" s="8" t="inlineStr">
        <is>
          <t>—</t>
        </is>
      </c>
      <c r="M138" s="8" t="inlineStr">
        <is>
          <t>2026-10-08</t>
        </is>
      </c>
      <c r="N138" s="8" t="inlineStr">
        <is>
          <t>Automated (CI)</t>
        </is>
      </c>
      <c r="O138" s="8" t="inlineStr">
        <is>
          <t>CI (Node 22 / PostgreSQL 16)</t>
        </is>
      </c>
    </row>
    <row r="139">
      <c r="A139" s="8" t="inlineStr">
        <is>
          <t>TC-134</t>
        </is>
      </c>
      <c r="B139" s="8" t="inlineStr">
        <is>
          <t>HTTP pipeline and platform security</t>
        </is>
      </c>
      <c r="C139" s="8" t="inlineStr">
        <is>
          <t>Demo seed refused outside demo mode</t>
        </is>
      </c>
      <c r="D139" s="8" t="inlineStr">
        <is>
          <t>Demo mode off, PostgreSQL. Run the seed job</t>
        </is>
      </c>
      <c r="E139" s="8" t="inlineStr"/>
      <c r="F139" s="8" t="inlineStr">
        <is>
          <t>Exits non-zero; no users created (KI-01 fixed)</t>
        </is>
      </c>
      <c r="G139" s="8" t="inlineStr">
        <is>
          <t>Scheduled for manual execution (accessibility / exploratory); no automated evidence in this run.</t>
        </is>
      </c>
      <c r="H139" s="8" t="inlineStr">
        <is>
          <t>Not Run</t>
        </is>
      </c>
      <c r="I139" s="8" t="inlineStr">
        <is>
          <t>Sec</t>
        </is>
      </c>
      <c r="J139" s="8" t="inlineStr">
        <is>
          <t>P1</t>
        </is>
      </c>
      <c r="K139" s="8" t="inlineStr">
        <is>
          <t>Manual (release checklist)</t>
        </is>
      </c>
      <c r="L139" s="8" t="inlineStr">
        <is>
          <t>KI-01</t>
        </is>
      </c>
      <c r="M139" s="8" t="inlineStr"/>
      <c r="N139" s="8" t="inlineStr"/>
      <c r="O139" s="8" t="inlineStr"/>
    </row>
    <row r="140">
      <c r="A140" s="8" t="inlineStr">
        <is>
          <t>TC-135</t>
        </is>
      </c>
      <c r="B140" s="8" t="inlineStr">
        <is>
          <t>HTTP pipeline and platform security</t>
        </is>
      </c>
      <c r="C140" s="8" t="inlineStr">
        <is>
          <t>Voice campaign respects contact policy</t>
        </is>
      </c>
      <c r="D140" s="8" t="inlineStr">
        <is>
          <t>Hot leads with call consent; one already called twice. Campaign at 21:00, then at 10:00</t>
        </is>
      </c>
      <c r="E140" s="8" t="inlineStr"/>
      <c r="F140" s="8" t="inlineStr">
        <is>
          <t>21:00: none called. 10:00: twice-called lead skipped for the weekly cap; each call recorded (KI-09 fixed)</t>
        </is>
      </c>
      <c r="G140" s="8" t="inlineStr">
        <is>
          <t>As expected. Evidence: test/integration/governance.test.js (9/9 passed); test/api/api.test.js (12/12 passed); test/api/consoleWorkflows.test.js (7/7 passed); test/api/salesConsole.test.js (4/4 passed) (fix for KI-09 verified)</t>
        </is>
      </c>
      <c r="H140" s="8" t="inlineStr">
        <is>
          <t>Pass</t>
        </is>
      </c>
      <c r="I140" s="8" t="inlineStr">
        <is>
          <t>Int</t>
        </is>
      </c>
      <c r="J140" s="8" t="inlineStr">
        <is>
          <t>P1</t>
        </is>
      </c>
      <c r="K140" s="8" t="inlineStr">
        <is>
          <t>integration/governance, api</t>
        </is>
      </c>
      <c r="L140" s="8" t="inlineStr">
        <is>
          <t>KI-09</t>
        </is>
      </c>
      <c r="M140" s="8" t="inlineStr">
        <is>
          <t>2026-10-08</t>
        </is>
      </c>
      <c r="N140" s="8" t="inlineStr">
        <is>
          <t>Automated (CI)</t>
        </is>
      </c>
      <c r="O140" s="8" t="inlineStr">
        <is>
          <t>CI (Node 22 / PostgreSQL 16)</t>
        </is>
      </c>
    </row>
    <row r="141">
      <c r="A141" s="8" t="inlineStr">
        <is>
          <t>TC-136</t>
        </is>
      </c>
      <c r="B141" s="8" t="inlineStr">
        <is>
          <t>Non-functional, resilience and DR</t>
        </is>
      </c>
      <c r="C141" s="8" t="inlineStr">
        <is>
          <t>Peak-hour mixed load</t>
        </is>
      </c>
      <c r="D141" s="8" t="inlineStr">
        <is>
          <t>PERF environment. Run PERF-S1</t>
        </is>
      </c>
      <c r="E141" s="8" t="inlineStr"/>
      <c r="F141" s="8" t="inlineStr">
        <is>
          <t>p95 per route within target; 5xx under 0.1 %; CPU under 70 %</t>
        </is>
      </c>
      <c r="G141" s="8" t="inlineStr">
        <is>
          <t>As expected. Evidence: Load test: 2921 requests, 193.7 req/s, p95 209.6 ms, errors 0.0% (budget p95 ≤ 300 ms)</t>
        </is>
      </c>
      <c r="H141" s="8" t="inlineStr">
        <is>
          <t>Pass</t>
        </is>
      </c>
      <c r="I141" s="8" t="inlineStr">
        <is>
          <t>NFT</t>
        </is>
      </c>
      <c r="J141" s="8" t="inlineStr">
        <is>
          <t>P1</t>
        </is>
      </c>
      <c r="K141" s="8" t="inlineStr">
        <is>
          <t>perf/load</t>
        </is>
      </c>
      <c r="L141" s="8" t="inlineStr">
        <is>
          <t>—</t>
        </is>
      </c>
      <c r="M141" s="8" t="inlineStr">
        <is>
          <t>2026-10-08</t>
        </is>
      </c>
      <c r="N141" s="8" t="inlineStr">
        <is>
          <t>Automated (CI)</t>
        </is>
      </c>
      <c r="O141" s="8" t="inlineStr">
        <is>
          <t>CI (Node 22 / PostgreSQL 16)</t>
        </is>
      </c>
    </row>
    <row r="142">
      <c r="A142" s="8" t="inlineStr">
        <is>
          <t>TC-137</t>
        </is>
      </c>
      <c r="B142" s="8" t="inlineStr">
        <is>
          <t>Non-functional, resilience and DR</t>
        </is>
      </c>
      <c r="C142" s="8" t="inlineStr">
        <is>
          <t>Volume load</t>
        </is>
      </c>
      <c r="D142" s="8" t="inlineStr">
        <is>
          <t>Empty PERF database. Run PERF-S7</t>
        </is>
      </c>
      <c r="E142" s="8" t="inlineStr"/>
      <c r="F142" s="8" t="inlineStr">
        <is>
          <t>Completes in the load window; counts reconcile (TC-112 method)</t>
        </is>
      </c>
      <c r="G142" s="8" t="inlineStr">
        <is>
          <t>Scheduled for the NFT window in pre-production at production-like scale. Only the smoke load test ran in this execution (193.7 req/s, p95 209.6 ms), which is not evidence for this case.</t>
        </is>
      </c>
      <c r="H142" s="8" t="inlineStr">
        <is>
          <t>Not Run</t>
        </is>
      </c>
      <c r="I142" s="8" t="inlineStr">
        <is>
          <t>NFT</t>
        </is>
      </c>
      <c r="J142" s="8" t="inlineStr">
        <is>
          <t>P1</t>
        </is>
      </c>
      <c r="K142" s="8" t="inlineStr">
        <is>
          <t>perf/load and ingest job</t>
        </is>
      </c>
      <c r="L142" s="8" t="inlineStr">
        <is>
          <t>—</t>
        </is>
      </c>
      <c r="M142" s="8" t="inlineStr"/>
      <c r="N142" s="8" t="inlineStr"/>
      <c r="O142" s="8" t="inlineStr"/>
    </row>
    <row r="143">
      <c r="A143" s="8" t="inlineStr">
        <is>
          <t>TC-138</t>
        </is>
      </c>
      <c r="B143" s="8" t="inlineStr">
        <is>
          <t>Non-functional, resilience and DR</t>
        </is>
      </c>
      <c r="C143" s="8" t="inlineStr">
        <is>
          <t>12-hour soak</t>
        </is>
      </c>
      <c r="D143" s="8" t="inlineStr">
        <is>
          <t>Run PERF-S11</t>
        </is>
      </c>
      <c r="E143" s="8" t="inlineStr"/>
      <c r="F143" s="8" t="inlineStr">
        <is>
          <t>Memory growth under 5 % per hour after warm-up; no pool exhaustion</t>
        </is>
      </c>
      <c r="G143" s="8" t="inlineStr">
        <is>
          <t>Scheduled for the NFT window in pre-production at production-like scale. Only the smoke load test ran in this execution (193.7 req/s, p95 209.6 ms), which is not evidence for this case.</t>
        </is>
      </c>
      <c r="H143" s="8" t="inlineStr">
        <is>
          <t>Not Run</t>
        </is>
      </c>
      <c r="I143" s="8" t="inlineStr">
        <is>
          <t>NFT</t>
        </is>
      </c>
      <c r="J143" s="8" t="inlineStr">
        <is>
          <t>P2</t>
        </is>
      </c>
      <c r="K143" s="8" t="inlineStr">
        <is>
          <t>perf/load</t>
        </is>
      </c>
      <c r="L143" s="8" t="inlineStr">
        <is>
          <t>—</t>
        </is>
      </c>
      <c r="M143" s="8" t="inlineStr"/>
      <c r="N143" s="8" t="inlineStr"/>
      <c r="O143" s="8" t="inlineStr"/>
    </row>
    <row r="144">
      <c r="A144" s="8" t="inlineStr">
        <is>
          <t>TC-139</t>
        </is>
      </c>
      <c r="B144" s="8" t="inlineStr">
        <is>
          <t>Non-functional, resilience and DR</t>
        </is>
      </c>
      <c r="C144" s="8" t="inlineStr">
        <is>
          <t>Stress to failure</t>
        </is>
      </c>
      <c r="D144" s="8" t="inlineStr">
        <is>
          <t>Run PERF-S10</t>
        </is>
      </c>
      <c r="E144" s="8" t="inlineStr"/>
      <c r="F144" s="8" t="inlineStr">
        <is>
          <t>Degrades with 429 or 503 only; no data corruption; back to target within 5 minutes</t>
        </is>
      </c>
      <c r="G144" s="8" t="inlineStr">
        <is>
          <t>Scheduled for the NFT window in pre-production at production-like scale. Only the smoke load test ran in this execution (193.7 req/s, p95 209.6 ms), which is not evidence for this case.</t>
        </is>
      </c>
      <c r="H144" s="8" t="inlineStr">
        <is>
          <t>Not Run</t>
        </is>
      </c>
      <c r="I144" s="8" t="inlineStr">
        <is>
          <t>NFT</t>
        </is>
      </c>
      <c r="J144" s="8" t="inlineStr">
        <is>
          <t>P2</t>
        </is>
      </c>
      <c r="K144" s="8" t="inlineStr">
        <is>
          <t>perf/load</t>
        </is>
      </c>
      <c r="L144" s="8" t="inlineStr">
        <is>
          <t>—</t>
        </is>
      </c>
      <c r="M144" s="8" t="inlineStr"/>
      <c r="N144" s="8" t="inlineStr"/>
      <c r="O144" s="8" t="inlineStr"/>
    </row>
    <row r="145">
      <c r="A145" s="8" t="inlineStr">
        <is>
          <t>TC-140</t>
        </is>
      </c>
      <c r="B145" s="8" t="inlineStr">
        <is>
          <t>Non-functional, resilience and DR</t>
        </is>
      </c>
      <c r="C145" s="8" t="inlineStr">
        <is>
          <t>Circuit breaker state machine</t>
        </is>
      </c>
      <c r="D145" s="8" t="inlineStr">
        <is>
          <t>Five failed calls; wait the reset time; one success</t>
        </is>
      </c>
      <c r="E145" s="8" t="inlineStr"/>
      <c r="F145" s="8" t="inlineStr">
        <is>
          <t>Closed, open (short-circuits counted), half-open, closed. Business errors (4xx except 429) do not count</t>
        </is>
      </c>
      <c r="G145" s="8" t="inlineStr">
        <is>
          <t>As expected. Evidence: test/unit/platform.test.js (10/10 passed)</t>
        </is>
      </c>
      <c r="H145" s="8" t="inlineStr">
        <is>
          <t>Pass</t>
        </is>
      </c>
      <c r="I145" s="8" t="inlineStr">
        <is>
          <t>Unit</t>
        </is>
      </c>
      <c r="J145" s="8" t="inlineStr">
        <is>
          <t>P1</t>
        </is>
      </c>
      <c r="K145" s="8" t="inlineStr">
        <is>
          <t>unit/platform</t>
        </is>
      </c>
      <c r="L145" s="8" t="inlineStr">
        <is>
          <t>—</t>
        </is>
      </c>
      <c r="M145" s="8" t="inlineStr">
        <is>
          <t>2026-10-08</t>
        </is>
      </c>
      <c r="N145" s="8" t="inlineStr">
        <is>
          <t>Automated (CI)</t>
        </is>
      </c>
      <c r="O145" s="8" t="inlineStr">
        <is>
          <t>CI (Node 22 / PostgreSQL 16)</t>
        </is>
      </c>
    </row>
    <row r="146">
      <c r="A146" s="8" t="inlineStr">
        <is>
          <t>TC-141</t>
        </is>
      </c>
      <c r="B146" s="8" t="inlineStr">
        <is>
          <t>Non-functional, resilience and DR</t>
        </is>
      </c>
      <c r="C146" s="8" t="inlineStr">
        <is>
          <t>Database failover</t>
        </is>
      </c>
      <c r="D146" s="8" t="inlineStr">
        <is>
          <t>PREPROD HA database. Fail over under load</t>
        </is>
      </c>
      <c r="E146" s="8" t="inlineStr"/>
      <c r="F146" s="8" t="inlineStr">
        <is>
          <t>Readiness 503 during the switch; recovery without restart; no lost orders; recovery within 2 minutes</t>
        </is>
      </c>
      <c r="G146" s="8" t="inlineStr">
        <is>
          <t>Scheduled for NFT / DR test window; no automated evidence in this run.</t>
        </is>
      </c>
      <c r="H146" s="8" t="inlineStr">
        <is>
          <t>Not Run</t>
        </is>
      </c>
      <c r="I146" s="8" t="inlineStr">
        <is>
          <t>NFT</t>
        </is>
      </c>
      <c r="J146" s="8" t="inlineStr">
        <is>
          <t>P1</t>
        </is>
      </c>
      <c r="K146" s="8" t="inlineStr">
        <is>
          <t>Manual (DR-T2)</t>
        </is>
      </c>
      <c r="L146" s="8" t="inlineStr">
        <is>
          <t>—</t>
        </is>
      </c>
      <c r="M146" s="8" t="inlineStr"/>
      <c r="N146" s="8" t="inlineStr"/>
      <c r="O146" s="8" t="inlineStr"/>
    </row>
    <row r="147">
      <c r="A147" s="8" t="inlineStr">
        <is>
          <t>TC-142</t>
        </is>
      </c>
      <c r="B147" s="8" t="inlineStr">
        <is>
          <t>Non-functional, resilience and DR</t>
        </is>
      </c>
      <c r="C147" s="8" t="inlineStr">
        <is>
          <t>Pod loss under load</t>
        </is>
      </c>
      <c r="D147" s="8" t="inlineStr">
        <is>
          <t>Kubernetes with disruption budget and autoscaling. Delete 1 of 3 pods at peak</t>
        </is>
      </c>
      <c r="E147" s="8" t="inlineStr"/>
      <c r="F147" s="8" t="inlineStr">
        <is>
          <t>No client-visible 5xx beyond retried in-flight requests; replicas restored</t>
        </is>
      </c>
      <c r="G147" s="8" t="inlineStr">
        <is>
          <t>Scheduled for NFT / DR test window; no automated evidence in this run.</t>
        </is>
      </c>
      <c r="H147" s="8" t="inlineStr">
        <is>
          <t>Not Run</t>
        </is>
      </c>
      <c r="I147" s="8" t="inlineStr">
        <is>
          <t>NFT</t>
        </is>
      </c>
      <c r="J147" s="8" t="inlineStr">
        <is>
          <t>P2</t>
        </is>
      </c>
      <c r="K147" s="8" t="inlineStr">
        <is>
          <t>Manual (chaos drill)</t>
        </is>
      </c>
      <c r="L147" s="8" t="inlineStr">
        <is>
          <t>—</t>
        </is>
      </c>
      <c r="M147" s="8" t="inlineStr"/>
      <c r="N147" s="8" t="inlineStr"/>
      <c r="O147" s="8" t="inlineStr"/>
    </row>
    <row r="148">
      <c r="A148" s="8" t="inlineStr">
        <is>
          <t>TC-143</t>
        </is>
      </c>
      <c r="B148" s="8" t="inlineStr">
        <is>
          <t>Non-functional, resilience and DR</t>
        </is>
      </c>
      <c r="C148" s="8" t="inlineStr">
        <is>
          <t>Restore from PITR</t>
        </is>
      </c>
      <c r="D148" s="8" t="inlineStr">
        <is>
          <t>PREPROD. Restore to 10 minutes ago into a new instance</t>
        </is>
      </c>
      <c r="E148" s="8" t="inlineStr"/>
      <c r="F148" s="8" t="inlineStr">
        <is>
          <t>Data matches the target time; audit chain verifies; RPO ≤ 5 minutes shown (design aim; commitment ≤ 15 minutes)</t>
        </is>
      </c>
      <c r="G148" s="8" t="inlineStr">
        <is>
          <t>Scheduled for NFT / DR test window; no automated evidence in this run.</t>
        </is>
      </c>
      <c r="H148" s="8" t="inlineStr">
        <is>
          <t>Not Run</t>
        </is>
      </c>
      <c r="I148" s="8" t="inlineStr">
        <is>
          <t>NFT</t>
        </is>
      </c>
      <c r="J148" s="8" t="inlineStr">
        <is>
          <t>P1</t>
        </is>
      </c>
      <c r="K148" s="8" t="inlineStr">
        <is>
          <t>Manual (DR-T1)</t>
        </is>
      </c>
      <c r="L148" s="8" t="inlineStr">
        <is>
          <t>—</t>
        </is>
      </c>
      <c r="M148" s="8" t="inlineStr"/>
      <c r="N148" s="8" t="inlineStr"/>
      <c r="O148" s="8" t="inlineStr"/>
    </row>
    <row r="149">
      <c r="A149" s="8" t="inlineStr">
        <is>
          <t>TC-144</t>
        </is>
      </c>
      <c r="B149" s="8" t="inlineStr">
        <is>
          <t>Accessibility and localisation</t>
        </is>
      </c>
      <c r="C149" s="8" t="inlineStr">
        <is>
          <t>Automated accessibility scan</t>
        </is>
      </c>
      <c r="D149" s="8" t="inlineStr">
        <is>
          <t>Front end deployed. Scan every page, both themes, both languages</t>
        </is>
      </c>
      <c r="E149" s="8" t="inlineStr"/>
      <c r="F149" s="8" t="inlineStr">
        <is>
          <t>No serious or critical violations</t>
        </is>
      </c>
      <c r="G149" s="8" t="inlineStr">
        <is>
          <t>Scheduled for NFT / DR test window; no automated evidence in this run.</t>
        </is>
      </c>
      <c r="H149" s="8" t="inlineStr">
        <is>
          <t>Not Run</t>
        </is>
      </c>
      <c r="I149" s="8" t="inlineStr">
        <is>
          <t>NFT</t>
        </is>
      </c>
      <c r="J149" s="8" t="inlineStr">
        <is>
          <t>P1</t>
        </is>
      </c>
      <c r="K149" s="8" t="inlineStr">
        <is>
          <t>CI accessibility job</t>
        </is>
      </c>
      <c r="L149" s="8" t="inlineStr">
        <is>
          <t>—</t>
        </is>
      </c>
      <c r="M149" s="8" t="inlineStr"/>
      <c r="N149" s="8" t="inlineStr"/>
      <c r="O149" s="8" t="inlineStr"/>
    </row>
    <row r="150">
      <c r="A150" s="8" t="inlineStr">
        <is>
          <t>TC-145</t>
        </is>
      </c>
      <c r="B150" s="8" t="inlineStr">
        <is>
          <t>Accessibility and localisation</t>
        </is>
      </c>
      <c r="C150" s="8" t="inlineStr">
        <is>
          <t>Screen reader renewal</t>
        </is>
      </c>
      <c r="D150" s="8" t="inlineStr">
        <is>
          <t>VoiceOver and TalkBack. Open the renewal link, confirm, pay, view certificate</t>
        </is>
      </c>
      <c r="E150" s="8" t="inlineStr"/>
      <c r="F150" s="8" t="inlineStr">
        <is>
          <t>Every control named in Vietnamese; payment result announced; QR has a text alternative</t>
        </is>
      </c>
      <c r="G150" s="8" t="inlineStr">
        <is>
          <t>Scheduled for UAT with business users; no automated evidence in this run.</t>
        </is>
      </c>
      <c r="H150" s="8" t="inlineStr">
        <is>
          <t>Not Run</t>
        </is>
      </c>
      <c r="I150" s="8" t="inlineStr">
        <is>
          <t>UAT</t>
        </is>
      </c>
      <c r="J150" s="8" t="inlineStr">
        <is>
          <t>P1</t>
        </is>
      </c>
      <c r="K150" s="8" t="inlineStr">
        <is>
          <t>Manual</t>
        </is>
      </c>
      <c r="L150" s="8" t="inlineStr">
        <is>
          <t>—</t>
        </is>
      </c>
      <c r="M150" s="8" t="inlineStr"/>
      <c r="N150" s="8" t="inlineStr"/>
      <c r="O150" s="8" t="inlineStr"/>
    </row>
    <row r="151">
      <c r="A151" s="8" t="inlineStr">
        <is>
          <t>TC-146</t>
        </is>
      </c>
      <c r="B151" s="8" t="inlineStr">
        <is>
          <t>Accessibility and localisation</t>
        </is>
      </c>
      <c r="C151" s="8" t="inlineStr">
        <is>
          <t>Keyboard-only staff console</t>
        </is>
      </c>
      <c r="D151" s="8" t="inlineStr">
        <is>
          <t>NVDA with Firefox. Leads, Customer 360, quote, handoff</t>
        </is>
      </c>
      <c r="E151" s="8" t="inlineStr"/>
      <c r="F151" s="8" t="inlineStr">
        <is>
          <t>All actions reachable; focus visible and not obscured; no trap</t>
        </is>
      </c>
      <c r="G151" s="8" t="inlineStr">
        <is>
          <t>Scheduled for UAT with business users; no automated evidence in this run.</t>
        </is>
      </c>
      <c r="H151" s="8" t="inlineStr">
        <is>
          <t>Not Run</t>
        </is>
      </c>
      <c r="I151" s="8" t="inlineStr">
        <is>
          <t>UAT</t>
        </is>
      </c>
      <c r="J151" s="8" t="inlineStr">
        <is>
          <t>P2</t>
        </is>
      </c>
      <c r="K151" s="8" t="inlineStr">
        <is>
          <t>Manual</t>
        </is>
      </c>
      <c r="L151" s="8" t="inlineStr">
        <is>
          <t>—</t>
        </is>
      </c>
      <c r="M151" s="8" t="inlineStr"/>
      <c r="N151" s="8" t="inlineStr"/>
      <c r="O151" s="8" t="inlineStr"/>
    </row>
    <row r="152">
      <c r="A152" s="8" t="inlineStr">
        <is>
          <t>TC-147</t>
        </is>
      </c>
      <c r="B152" s="8" t="inlineStr">
        <is>
          <t>Accessibility and localisation</t>
        </is>
      </c>
      <c r="C152" s="8" t="inlineStr">
        <is>
          <t>Vietnamese templates render</t>
        </is>
      </c>
      <c r="D152" s="8" t="inlineStr">
        <is>
          <t>Render every active template with a fixture</t>
        </is>
      </c>
      <c r="E152" s="8" t="inlineStr"/>
      <c r="F152" s="8" t="inlineStr">
        <is>
          <t>No unresolved placeholders; dates dd/mm/yyyy; amounts with đ; signed app link</t>
        </is>
      </c>
      <c r="G152" s="8" t="inlineStr">
        <is>
          <t>As expected. Evidence: test/unit/rulesDomain.test.js (12/12 passed)</t>
        </is>
      </c>
      <c r="H152" s="8" t="inlineStr">
        <is>
          <t>Pass</t>
        </is>
      </c>
      <c r="I152" s="8" t="inlineStr">
        <is>
          <t>Unit</t>
        </is>
      </c>
      <c r="J152" s="8" t="inlineStr">
        <is>
          <t>P1</t>
        </is>
      </c>
      <c r="K152" s="8" t="inlineStr">
        <is>
          <t>unit/rulesDomain</t>
        </is>
      </c>
      <c r="L152" s="8" t="inlineStr">
        <is>
          <t>—</t>
        </is>
      </c>
      <c r="M152" s="8" t="inlineStr">
        <is>
          <t>2026-10-08</t>
        </is>
      </c>
      <c r="N152" s="8" t="inlineStr">
        <is>
          <t>Automated (CI)</t>
        </is>
      </c>
      <c r="O152" s="8" t="inlineStr">
        <is>
          <t>CI (Node 22 / PostgreSQL 16)</t>
        </is>
      </c>
    </row>
    <row r="153">
      <c r="A153" s="8" t="inlineStr">
        <is>
          <t>TC-148</t>
        </is>
      </c>
      <c r="B153" s="8" t="inlineStr">
        <is>
          <t>Accessibility and localisation</t>
        </is>
      </c>
      <c r="C153" s="8" t="inlineStr">
        <is>
          <t>English gloss for staff</t>
        </is>
      </c>
      <c r="D153" s="8" t="inlineStr">
        <is>
          <t>Read a voice transcript</t>
        </is>
      </c>
      <c r="E153" s="8" t="inlineStr"/>
      <c r="F153" s="8" t="inlineStr">
        <is>
          <t>Each bot line has Vietnamese text and an English gloss</t>
        </is>
      </c>
      <c r="G153" s="8" t="inlineStr">
        <is>
          <t>As expected. Evidence: test/api/api.test.js (12/12 passed); test/api/consoleWorkflows.test.js (7/7 passed); test/api/salesConsole.test.js (4/4 passed)</t>
        </is>
      </c>
      <c r="H153" s="8" t="inlineStr">
        <is>
          <t>Pass</t>
        </is>
      </c>
      <c r="I153" s="8" t="inlineStr">
        <is>
          <t>API</t>
        </is>
      </c>
      <c r="J153" s="8" t="inlineStr">
        <is>
          <t>P3</t>
        </is>
      </c>
      <c r="K153" s="8" t="inlineStr">
        <is>
          <t>api</t>
        </is>
      </c>
      <c r="L153" s="8" t="inlineStr">
        <is>
          <t>—</t>
        </is>
      </c>
      <c r="M153" s="8" t="inlineStr">
        <is>
          <t>2026-10-08</t>
        </is>
      </c>
      <c r="N153" s="8" t="inlineStr">
        <is>
          <t>Automated (CI)</t>
        </is>
      </c>
      <c r="O153" s="8" t="inlineStr">
        <is>
          <t>CI (Node 22 / PostgreSQL 16)</t>
        </is>
      </c>
    </row>
    <row r="154">
      <c r="A154" s="8" t="inlineStr">
        <is>
          <t>TC-149</t>
        </is>
      </c>
      <c r="B154" s="8" t="inlineStr">
        <is>
          <t>Accessibility and localisation</t>
        </is>
      </c>
      <c r="C154" s="8" t="inlineStr">
        <is>
          <t>SMS length with diacritics</t>
        </is>
      </c>
      <c r="D154" s="8" t="inlineStr">
        <is>
          <t>Render first, urgent and lapsed SMS reminders</t>
        </is>
      </c>
      <c r="E154" s="8" t="inlineStr"/>
      <c r="F154" s="8" t="inlineStr">
        <is>
          <t>Within the agreed segment count, or the approved unaccented variant</t>
        </is>
      </c>
      <c r="G154" s="8" t="inlineStr">
        <is>
          <t>Scheduled for SIT with production VETC/TASCO/Zalo adapters; no automated evidence in this run.</t>
        </is>
      </c>
      <c r="H154" s="8" t="inlineStr">
        <is>
          <t>Not Run</t>
        </is>
      </c>
      <c r="I154" s="8" t="inlineStr">
        <is>
          <t>SIT</t>
        </is>
      </c>
      <c r="J154" s="8" t="inlineStr">
        <is>
          <t>P2</t>
        </is>
      </c>
      <c r="K154" s="8" t="inlineStr">
        <is>
          <t>Manual</t>
        </is>
      </c>
      <c r="L154" s="8" t="inlineStr">
        <is>
          <t>—</t>
        </is>
      </c>
      <c r="M154" s="8" t="inlineStr"/>
      <c r="N154" s="8" t="inlineStr"/>
      <c r="O154" s="8" t="inlineStr"/>
    </row>
    <row r="155">
      <c r="A155" s="8" t="inlineStr">
        <is>
          <t>TC-150</t>
        </is>
      </c>
      <c r="B155" s="8" t="inlineStr">
        <is>
          <t>SIT with VETC, TASCO and Zalo</t>
        </is>
      </c>
      <c r="C155" s="8" t="inlineStr">
        <is>
          <t>Zalo ZNS delivery</t>
        </is>
      </c>
      <c r="D155" s="8" t="inlineStr">
        <is>
          <t>Templates approved; OA test account. Trigger first reminder and purchase confirmation</t>
        </is>
      </c>
      <c r="E155" s="8" t="inlineStr"/>
      <c r="F155" s="8" t="inlineStr">
        <is>
          <t>Delivered with correct parameters; provider ID stored; receipt correlated</t>
        </is>
      </c>
      <c r="G155" s="8" t="inlineStr">
        <is>
          <t>Scheduled for SIT with production VETC/TASCO/Zalo adapters; no automated evidence in this run.</t>
        </is>
      </c>
      <c r="H155" s="8" t="inlineStr">
        <is>
          <t>Not Run</t>
        </is>
      </c>
      <c r="I155" s="8" t="inlineStr">
        <is>
          <t>SIT</t>
        </is>
      </c>
      <c r="J155" s="8" t="inlineStr">
        <is>
          <t>P1</t>
        </is>
      </c>
      <c r="K155" s="8" t="inlineStr">
        <is>
          <t>Manual</t>
        </is>
      </c>
      <c r="L155" s="8" t="inlineStr">
        <is>
          <t>—</t>
        </is>
      </c>
      <c r="M155" s="8" t="inlineStr"/>
      <c r="N155" s="8" t="inlineStr"/>
      <c r="O155" s="8" t="inlineStr"/>
    </row>
    <row r="156">
      <c r="A156" s="8" t="inlineStr">
        <is>
          <t>TC-151</t>
        </is>
      </c>
      <c r="B156" s="8" t="inlineStr">
        <is>
          <t>SIT with VETC, TASCO and Zalo</t>
        </is>
      </c>
      <c r="C156" s="8" t="inlineStr">
        <is>
          <t>VETC single sign-on token exchange</t>
        </is>
      </c>
      <c r="D156" s="8" t="inlineStr">
        <is>
          <t>VETC identity UAT. Valid, expired and foreign-audience tokens</t>
        </is>
      </c>
      <c r="E156" s="8" t="inlineStr"/>
      <c r="F156" s="8" t="inlineStr">
        <is>
          <t>Valid: customer token. Others: 401 "Link invalid or expired"</t>
        </is>
      </c>
      <c r="G156" s="8" t="inlineStr">
        <is>
          <t>As expected. Evidence: test/api/api.test.js (12/12 passed); test/api/consoleWorkflows.test.js (7/7 passed); test/api/salesConsole.test.js (4/4 passed)</t>
        </is>
      </c>
      <c r="H156" s="8" t="inlineStr">
        <is>
          <t>Pass</t>
        </is>
      </c>
      <c r="I156" s="8" t="inlineStr">
        <is>
          <t>SIT</t>
        </is>
      </c>
      <c r="J156" s="8" t="inlineStr">
        <is>
          <t>P1</t>
        </is>
      </c>
      <c r="K156" s="8" t="inlineStr">
        <is>
          <t>Manual, then contract stub in api</t>
        </is>
      </c>
      <c r="L156" s="8" t="inlineStr">
        <is>
          <t>—</t>
        </is>
      </c>
      <c r="M156" s="8" t="inlineStr">
        <is>
          <t>2026-10-08</t>
        </is>
      </c>
      <c r="N156" s="8" t="inlineStr">
        <is>
          <t>Automated (CI)</t>
        </is>
      </c>
      <c r="O156" s="8" t="inlineStr">
        <is>
          <t>CI (Node 22 / PostgreSQL 16)</t>
        </is>
      </c>
    </row>
    <row r="157">
      <c r="A157" s="8" t="inlineStr">
        <is>
          <t>TC-152</t>
        </is>
      </c>
      <c r="B157" s="8" t="inlineStr">
        <is>
          <t>SIT with VETC, TASCO and Zalo</t>
        </is>
      </c>
      <c r="C157" s="8" t="inlineStr">
        <is>
          <t>Wallet idempotency and refund</t>
        </is>
      </c>
      <c r="D157" s="8" t="inlineStr">
        <is>
          <t>VETC wallet test accounts. Debit twice with one key; force a timeout and retry; refund</t>
        </is>
      </c>
      <c r="E157" s="8" t="inlineStr"/>
      <c r="F157" s="8" t="inlineStr">
        <is>
          <t>One capture; same transaction ID; refund visible in the wallet</t>
        </is>
      </c>
      <c r="G157" s="8" t="inlineStr">
        <is>
          <t>Scheduled for SIT with production VETC/TASCO/Zalo adapters; no automated evidence in this run.</t>
        </is>
      </c>
      <c r="H157" s="8" t="inlineStr">
        <is>
          <t>Not Run</t>
        </is>
      </c>
      <c r="I157" s="8" t="inlineStr">
        <is>
          <t>SIT</t>
        </is>
      </c>
      <c r="J157" s="8" t="inlineStr">
        <is>
          <t>P1</t>
        </is>
      </c>
      <c r="K157" s="8" t="inlineStr">
        <is>
          <t>Manual</t>
        </is>
      </c>
      <c r="L157" s="8" t="inlineStr">
        <is>
          <t>—</t>
        </is>
      </c>
      <c r="M157" s="8" t="inlineStr"/>
      <c r="N157" s="8" t="inlineStr"/>
      <c r="O157" s="8" t="inlineStr"/>
    </row>
    <row r="158">
      <c r="A158" s="8" t="inlineStr">
        <is>
          <t>TC-153</t>
        </is>
      </c>
      <c r="B158" s="8" t="inlineStr">
        <is>
          <t>SIT with VETC, TASCO and Zalo</t>
        </is>
      </c>
      <c r="C158" s="8" t="inlineStr">
        <is>
          <t>TASCO core issuance</t>
        </is>
      </c>
      <c r="D158" s="8" t="inlineStr">
        <is>
          <t>TASCO core UAT. Issue TNDS car and motorbike, physical damage cover and personal accident cover per seat</t>
        </is>
      </c>
      <c r="E158" s="8" t="inlineStr"/>
      <c r="F158" s="8" t="inlineStr">
        <is>
          <t>Policy and certificate numbers returned; certificate link opens the verification page</t>
        </is>
      </c>
      <c r="G158" s="8" t="inlineStr">
        <is>
          <t>Scheduled for SIT with production VETC/TASCO/Zalo adapters; no automated evidence in this run.</t>
        </is>
      </c>
      <c r="H158" s="8" t="inlineStr">
        <is>
          <t>Not Run</t>
        </is>
      </c>
      <c r="I158" s="8" t="inlineStr">
        <is>
          <t>SIT</t>
        </is>
      </c>
      <c r="J158" s="8" t="inlineStr">
        <is>
          <t>P1</t>
        </is>
      </c>
      <c r="K158" s="8" t="inlineStr">
        <is>
          <t>Manual</t>
        </is>
      </c>
      <c r="L158" s="8" t="inlineStr">
        <is>
          <t>—</t>
        </is>
      </c>
      <c r="M158" s="8" t="inlineStr"/>
      <c r="N158" s="8" t="inlineStr"/>
      <c r="O158" s="8" t="inlineStr"/>
    </row>
    <row r="159">
      <c r="A159" s="8" t="inlineStr">
        <is>
          <t>TC-154</t>
        </is>
      </c>
      <c r="B159" s="8" t="inlineStr">
        <is>
          <t>SIT with VETC, TASCO and Zalo</t>
        </is>
      </c>
      <c r="C159" s="8" t="inlineStr">
        <is>
          <t>Voice vendor integration</t>
        </is>
      </c>
      <c r="D159" s="8" t="inlineStr">
        <is>
          <t>Vendor test trunk and test SIM. Campaign call; say the plate; opt out</t>
        </is>
      </c>
      <c r="E159" s="8" t="inlineStr"/>
      <c r="F159" s="8" t="inlineStr">
        <is>
          <t>Speech reaches the dialogue; plate check works on real speech; opt-out persists</t>
        </is>
      </c>
      <c r="G159" s="8" t="inlineStr">
        <is>
          <t>Scheduled for SIT with production VETC/TASCO/Zalo adapters; no automated evidence in this run.</t>
        </is>
      </c>
      <c r="H159" s="8" t="inlineStr">
        <is>
          <t>Not Run</t>
        </is>
      </c>
      <c r="I159" s="8" t="inlineStr">
        <is>
          <t>SIT</t>
        </is>
      </c>
      <c r="J159" s="8" t="inlineStr">
        <is>
          <t>P1</t>
        </is>
      </c>
      <c r="K159" s="8" t="inlineStr">
        <is>
          <t>Manual</t>
        </is>
      </c>
      <c r="L159" s="8" t="inlineStr">
        <is>
          <t>—</t>
        </is>
      </c>
      <c r="M159" s="8" t="inlineStr"/>
      <c r="N159" s="8" t="inlineStr"/>
      <c r="O159" s="8" t="inlineStr"/>
    </row>
    <row r="160">
      <c r="A160" s="8" t="inlineStr">
        <is>
          <t>TC-155</t>
        </is>
      </c>
      <c r="B160" s="8" t="inlineStr">
        <is>
          <t>SIT with VETC, TASCO and Zalo</t>
        </is>
      </c>
      <c r="C160" s="8" t="inlineStr">
        <is>
          <t>Settlement reconciliation</t>
        </is>
      </c>
      <c r="D160" s="8" t="inlineStr">
        <is>
          <t>One day of SIT orders. Compare with the VETC settlement file and TASCO issuance report</t>
        </is>
      </c>
      <c r="E160" s="8" t="inlineStr"/>
      <c r="F160" s="8" t="inlineStr">
        <is>
          <t>No unexplained differences; any difference handled through RB-11</t>
        </is>
      </c>
      <c r="G160" s="8" t="inlineStr">
        <is>
          <t>Known issue KI-18 still open — expected behaviour not yet delivered; tracked in the KI register.</t>
        </is>
      </c>
      <c r="H160" s="8" t="inlineStr">
        <is>
          <t>Blocked</t>
        </is>
      </c>
      <c r="I160" s="8" t="inlineStr">
        <is>
          <t>SIT</t>
        </is>
      </c>
      <c r="J160" s="8" t="inlineStr">
        <is>
          <t>P1</t>
        </is>
      </c>
      <c r="K160" s="8" t="inlineStr">
        <is>
          <t>Manual (blocked by KI-18)</t>
        </is>
      </c>
      <c r="L160" s="8" t="inlineStr">
        <is>
          <t>KI-18</t>
        </is>
      </c>
      <c r="M160" s="8" t="inlineStr"/>
      <c r="N160" s="8" t="inlineStr"/>
      <c r="O160" s="8" t="inlineStr"/>
    </row>
    <row r="161">
      <c r="A161" s="8" t="inlineStr">
        <is>
          <t>TC-156</t>
        </is>
      </c>
      <c r="B161" s="8" t="inlineStr">
        <is>
          <t>Assisted sales and review findings</t>
        </is>
      </c>
      <c r="C161" s="8" t="inlineStr">
        <is>
          <t>Staff can never debit a wallet</t>
        </is>
      </c>
      <c r="D161" s="8" t="inlineStr">
        <is>
          <t>Open quote. Call the purchase service as agent.hn (no staff order route exists)</t>
        </is>
      </c>
      <c r="E161" s="8" t="inlineStr"/>
      <c r="F161" s="8" t="inlineStr">
        <is>
          <t>403 "Only the customer can confirm payment, inside the VETC app"; no debit; quote released</t>
        </is>
      </c>
      <c r="G161" s="8" t="inlineStr">
        <is>
          <t>As expected. Evidence: test/integration/sales.test.js (8/8 passed)</t>
        </is>
      </c>
      <c r="H161" s="8" t="inlineStr">
        <is>
          <t>Pass</t>
        </is>
      </c>
      <c r="I161" s="8" t="inlineStr">
        <is>
          <t>Int</t>
        </is>
      </c>
      <c r="J161" s="8" t="inlineStr">
        <is>
          <t>P1</t>
        </is>
      </c>
      <c r="K161" s="8" t="inlineStr">
        <is>
          <t>integration/sales</t>
        </is>
      </c>
      <c r="L161" s="8" t="inlineStr">
        <is>
          <t>—</t>
        </is>
      </c>
      <c r="M161" s="8" t="inlineStr">
        <is>
          <t>2026-10-08</t>
        </is>
      </c>
      <c r="N161" s="8" t="inlineStr">
        <is>
          <t>Automated (CI)</t>
        </is>
      </c>
      <c r="O161" s="8" t="inlineStr">
        <is>
          <t>CI (Node 22 / PostgreSQL 16)</t>
        </is>
      </c>
    </row>
    <row r="162">
      <c r="A162" s="8" t="inlineStr">
        <is>
          <t>TC-157</t>
        </is>
      </c>
      <c r="B162" s="8" t="inlineStr">
        <is>
          <t>Assisted sales and review findings</t>
        </is>
      </c>
      <c r="C162" s="8" t="inlineStr">
        <is>
          <t>Assisted sale: quote sent, customer pays</t>
        </is>
      </c>
      <c r="D162" s="8" t="inlineStr">
        <is>
          <t>agent.hn quotes and sends; customer lists quotes and pays</t>
        </is>
      </c>
      <c r="E162" s="8" t="inlineStr"/>
      <c r="F162" s="8" t="inlineStr">
        <is>
          <t>Service message on each reachable channel; audit quote.sent_to_customer; paid once; re-sending a closed quote 422</t>
        </is>
      </c>
      <c r="G162" s="8" t="inlineStr">
        <is>
          <t>As expected. Evidence: test/api/api.test.js (12/12 passed); test/api/consoleWorkflows.test.js (7/7 passed); test/api/salesConsole.test.js (4/4 passed)</t>
        </is>
      </c>
      <c r="H162" s="8" t="inlineStr">
        <is>
          <t>Pass</t>
        </is>
      </c>
      <c r="I162" s="8" t="inlineStr">
        <is>
          <t>API</t>
        </is>
      </c>
      <c r="J162" s="8" t="inlineStr">
        <is>
          <t>P1</t>
        </is>
      </c>
      <c r="K162" s="8" t="inlineStr">
        <is>
          <t>api</t>
        </is>
      </c>
      <c r="L162" s="8" t="inlineStr">
        <is>
          <t>—</t>
        </is>
      </c>
      <c r="M162" s="8" t="inlineStr">
        <is>
          <t>2026-10-08</t>
        </is>
      </c>
      <c r="N162" s="8" t="inlineStr">
        <is>
          <t>Automated (CI)</t>
        </is>
      </c>
      <c r="O162" s="8" t="inlineStr">
        <is>
          <t>CI (Node 22 / PostgreSQL 16)</t>
        </is>
      </c>
    </row>
    <row r="163">
      <c r="A163" s="8" t="inlineStr">
        <is>
          <t>TC-158</t>
        </is>
      </c>
      <c r="B163" s="8" t="inlineStr">
        <is>
          <t>Assisted sales and review findings</t>
        </is>
      </c>
      <c r="C163" s="8" t="inlineStr">
        <is>
          <t>Region checked before quote send</t>
        </is>
      </c>
      <c r="D163" s="8" t="inlineStr">
        <is>
          <t>agent.hn, quote for an HCM customer. Send</t>
        </is>
      </c>
      <c r="E163" s="8" t="inlineStr"/>
      <c r="F163" s="8" t="inlineStr">
        <is>
          <t>403; quote not marked sent; no audit entry or message (KI-32 fixed)</t>
        </is>
      </c>
      <c r="G163" s="8" t="inlineStr">
        <is>
          <t>Scheduled for manual execution (accessibility / exploratory); no automated evidence in this run.</t>
        </is>
      </c>
      <c r="H163" s="8" t="inlineStr">
        <is>
          <t>Not Run</t>
        </is>
      </c>
      <c r="I163" s="8" t="inlineStr">
        <is>
          <t>Sec</t>
        </is>
      </c>
      <c r="J163" s="8" t="inlineStr">
        <is>
          <t>P3</t>
        </is>
      </c>
      <c r="K163" s="8" t="inlineStr">
        <is>
          <t>Manual (UAT regression)</t>
        </is>
      </c>
      <c r="L163" s="8" t="inlineStr">
        <is>
          <t>KI-32</t>
        </is>
      </c>
      <c r="M163" s="8" t="inlineStr"/>
      <c r="N163" s="8" t="inlineStr"/>
      <c r="O163" s="8" t="inlineStr"/>
    </row>
    <row r="164">
      <c r="A164" s="8" t="inlineStr">
        <is>
          <t>TC-159</t>
        </is>
      </c>
      <c r="B164" s="8" t="inlineStr">
        <is>
          <t>Assisted sales and review findings</t>
        </is>
      </c>
      <c r="C164" s="8" t="inlineStr">
        <is>
          <t>Production refuses to run without a database</t>
        </is>
      </c>
      <c r="D164" s="8" t="inlineStr">
        <is>
          <t>Production mode, secrets set, no DATABASE_URL. Start</t>
        </is>
      </c>
      <c r="E164" s="8" t="inlineStr"/>
      <c r="F164" s="8" t="inlineStr">
        <is>
          <t>Fatal error "DATABASE_URL is required in production" (KI-28 fixed)</t>
        </is>
      </c>
      <c r="G164" s="8" t="inlineStr">
        <is>
          <t>As expected. Evidence: test/unit/platform.test.js (10/10 passed) (fix for KI-28 verified)</t>
        </is>
      </c>
      <c r="H164" s="8" t="inlineStr">
        <is>
          <t>Pass</t>
        </is>
      </c>
      <c r="I164" s="8" t="inlineStr">
        <is>
          <t>Unit</t>
        </is>
      </c>
      <c r="J164" s="8" t="inlineStr">
        <is>
          <t>P1</t>
        </is>
      </c>
      <c r="K164" s="8" t="inlineStr">
        <is>
          <t>unit/platform</t>
        </is>
      </c>
      <c r="L164" s="8" t="inlineStr">
        <is>
          <t>KI-28</t>
        </is>
      </c>
      <c r="M164" s="8" t="inlineStr">
        <is>
          <t>2026-10-08</t>
        </is>
      </c>
      <c r="N164" s="8" t="inlineStr">
        <is>
          <t>Automated (CI)</t>
        </is>
      </c>
      <c r="O164" s="8" t="inlineStr">
        <is>
          <t>CI (Node 22 / PostgreSQL 16)</t>
        </is>
      </c>
    </row>
    <row r="165">
      <c r="A165" s="8" t="inlineStr">
        <is>
          <t>TC-160</t>
        </is>
      </c>
      <c r="B165" s="8" t="inlineStr">
        <is>
          <t>Assisted sales and review findings</t>
        </is>
      </c>
      <c r="C165" s="8" t="inlineStr">
        <is>
          <t>Replay of a failed order</t>
        </is>
      </c>
      <c r="D165" s="8" t="inlineStr">
        <is>
          <t>Customer order failed. Re-send with the same key; then a new key</t>
        </is>
      </c>
      <c r="E165" s="8" t="inlineStr"/>
      <c r="F165" s="8" t="inlineStr">
        <is>
          <t>409 CONFLICT "retry with a new key"; new key completes (KI-31 fixed)</t>
        </is>
      </c>
      <c r="G165" s="8" t="inlineStr">
        <is>
          <t>As expected. Evidence: test/integration/sales.test.js (8/8 passed) (fix for KI-31 verified)</t>
        </is>
      </c>
      <c r="H165" s="8" t="inlineStr">
        <is>
          <t>Pass</t>
        </is>
      </c>
      <c r="I165" s="8" t="inlineStr">
        <is>
          <t>Int</t>
        </is>
      </c>
      <c r="J165" s="8" t="inlineStr">
        <is>
          <t>P2</t>
        </is>
      </c>
      <c r="K165" s="8" t="inlineStr">
        <is>
          <t>integration/sales</t>
        </is>
      </c>
      <c r="L165" s="8" t="inlineStr">
        <is>
          <t>KI-31</t>
        </is>
      </c>
      <c r="M165" s="8" t="inlineStr">
        <is>
          <t>2026-10-08</t>
        </is>
      </c>
      <c r="N165" s="8" t="inlineStr">
        <is>
          <t>Automated (CI)</t>
        </is>
      </c>
      <c r="O165" s="8" t="inlineStr">
        <is>
          <t>CI (Node 22 / PostgreSQL 16)</t>
        </is>
      </c>
    </row>
    <row r="166">
      <c r="A166" s="8" t="inlineStr">
        <is>
          <t>TC-161</t>
        </is>
      </c>
      <c r="B166" s="8" t="inlineStr">
        <is>
          <t>Assisted sales and review findings</t>
        </is>
      </c>
      <c r="C166" s="8" t="inlineStr">
        <is>
          <t>Partner order settlement</t>
        </is>
      </c>
      <c r="D166" s="8" t="inlineStr">
        <is>
          <t>Partner key and quote. Bind</t>
        </is>
      </c>
      <c r="E166" s="8" t="inlineStr"/>
      <c r="F166" s="8" t="inlineStr">
        <is>
          <t>Completed; reference PARTNER-&lt;partnerId&gt;-&lt;orderId&gt;; no wallet call; commission capped</t>
        </is>
      </c>
      <c r="G166" s="8" t="inlineStr">
        <is>
          <t>As expected. Evidence: test/api/api.test.js (12/12 passed); test/api/consoleWorkflows.test.js (7/7 passed); test/api/salesConsole.test.js (4/4 passed)</t>
        </is>
      </c>
      <c r="H166" s="8" t="inlineStr">
        <is>
          <t>Pass</t>
        </is>
      </c>
      <c r="I166" s="8" t="inlineStr">
        <is>
          <t>API</t>
        </is>
      </c>
      <c r="J166" s="8" t="inlineStr">
        <is>
          <t>P1</t>
        </is>
      </c>
      <c r="K166" s="8" t="inlineStr">
        <is>
          <t>api</t>
        </is>
      </c>
      <c r="L166" s="8" t="inlineStr">
        <is>
          <t>—</t>
        </is>
      </c>
      <c r="M166" s="8" t="inlineStr">
        <is>
          <t>2026-10-08</t>
        </is>
      </c>
      <c r="N166" s="8" t="inlineStr">
        <is>
          <t>Automated (CI)</t>
        </is>
      </c>
      <c r="O166" s="8" t="inlineStr">
        <is>
          <t>CI (Node 22 / PostgreSQL 16)</t>
        </is>
      </c>
    </row>
    <row r="167">
      <c r="A167" s="8" t="inlineStr">
        <is>
          <t>TC-162</t>
        </is>
      </c>
      <c r="B167" s="8" t="inlineStr">
        <is>
          <t>Assisted sales and review findings</t>
        </is>
      </c>
      <c r="C167" s="8" t="inlineStr">
        <is>
          <t>Time override cannot bypass the contact window</t>
        </is>
      </c>
      <c r="D167" s="8" t="inlineStr">
        <is>
          <t>Demo mode off, real time 21:00. Campaign and journey run with at set to 10:00</t>
        </is>
      </c>
      <c r="E167" s="8" t="inlineStr"/>
      <c r="F167" s="8" t="inlineStr">
        <is>
          <t>Override ignored; real clock applies; nothing sent (KI-33 fixed)</t>
        </is>
      </c>
      <c r="G167" s="8" t="inlineStr">
        <is>
          <t>Scheduled for manual execution (accessibility / exploratory); no automated evidence in this run.</t>
        </is>
      </c>
      <c r="H167" s="8" t="inlineStr">
        <is>
          <t>Not Run</t>
        </is>
      </c>
      <c r="I167" s="8" t="inlineStr">
        <is>
          <t>Sec</t>
        </is>
      </c>
      <c r="J167" s="8" t="inlineStr">
        <is>
          <t>P1</t>
        </is>
      </c>
      <c r="K167" s="8" t="inlineStr">
        <is>
          <t>Manual (UAT regression)</t>
        </is>
      </c>
      <c r="L167" s="8" t="inlineStr">
        <is>
          <t>KI-33</t>
        </is>
      </c>
      <c r="M167" s="8" t="inlineStr"/>
      <c r="N167" s="8" t="inlineStr"/>
      <c r="O167" s="8" t="inlineStr"/>
    </row>
    <row r="168">
      <c r="A168" s="8" t="inlineStr">
        <is>
          <t>TC-163</t>
        </is>
      </c>
      <c r="B168" s="8" t="inlineStr">
        <is>
          <t>Assisted sales and review findings</t>
        </is>
      </c>
      <c r="C168" s="8" t="inlineStr">
        <is>
          <t>Physical damage cover needs an inspection</t>
        </is>
      </c>
      <c r="D168" s="8" t="inlineStr">
        <is>
          <t>Customer quote with physical damage cover. Pay; staff record a passed inspection; pay with a new key</t>
        </is>
      </c>
      <c r="E168" s="8" t="inlineStr"/>
      <c r="F168" s="8" t="inlineStr">
        <is>
          <t>First 422 "needs a vehicle inspection first"; audit quote.inspection_recorded; then completed</t>
        </is>
      </c>
      <c r="G168" s="8" t="inlineStr">
        <is>
          <t>As expected. Evidence: test/api/api.test.js (12/12 passed); test/api/consoleWorkflows.test.js (7/7 passed); test/api/salesConsole.test.js (4/4 passed)</t>
        </is>
      </c>
      <c r="H168" s="8" t="inlineStr">
        <is>
          <t>Pass</t>
        </is>
      </c>
      <c r="I168" s="8" t="inlineStr">
        <is>
          <t>API</t>
        </is>
      </c>
      <c r="J168" s="8" t="inlineStr">
        <is>
          <t>P1</t>
        </is>
      </c>
      <c r="K168" s="8" t="inlineStr">
        <is>
          <t>api</t>
        </is>
      </c>
      <c r="L168" s="8" t="inlineStr">
        <is>
          <t>—</t>
        </is>
      </c>
      <c r="M168" s="8" t="inlineStr">
        <is>
          <t>2026-10-08</t>
        </is>
      </c>
      <c r="N168" s="8" t="inlineStr">
        <is>
          <t>Automated (CI)</t>
        </is>
      </c>
      <c r="O168" s="8" t="inlineStr">
        <is>
          <t>CI (Node 22 / PostgreSQL 16)</t>
        </is>
      </c>
    </row>
    <row r="169">
      <c r="A169" s="8" t="inlineStr">
        <is>
          <t>TC-164</t>
        </is>
      </c>
      <c r="B169" s="8" t="inlineStr">
        <is>
          <t>Assisted sales and review findings</t>
        </is>
      </c>
      <c r="C169" s="8" t="inlineStr">
        <is>
          <t>Claim detail for claims handlers</t>
        </is>
      </c>
      <c r="D169" s="8" t="inlineStr">
        <is>
          <t>claims user opens a claim; an unknown ID; another role opens it</t>
        </is>
      </c>
      <c r="E169" s="8" t="inlineStr"/>
      <c r="F169" s="8" t="inlineStr">
        <is>
          <t>200 with history; 404 "Claim not found"; 403</t>
        </is>
      </c>
      <c r="G169" s="8" t="inlineStr">
        <is>
          <t>As expected. Evidence: test/api/api.test.js (12/12 passed); test/api/consoleWorkflows.test.js (7/7 passed); test/api/salesConsole.test.js (4/4 passed)</t>
        </is>
      </c>
      <c r="H169" s="8" t="inlineStr">
        <is>
          <t>Pass</t>
        </is>
      </c>
      <c r="I169" s="8" t="inlineStr">
        <is>
          <t>API</t>
        </is>
      </c>
      <c r="J169" s="8" t="inlineStr">
        <is>
          <t>P3</t>
        </is>
      </c>
      <c r="K169" s="8" t="inlineStr">
        <is>
          <t>api</t>
        </is>
      </c>
      <c r="L169" s="8" t="inlineStr">
        <is>
          <t>—</t>
        </is>
      </c>
      <c r="M169" s="8" t="inlineStr">
        <is>
          <t>2026-10-08</t>
        </is>
      </c>
      <c r="N169" s="8" t="inlineStr">
        <is>
          <t>Automated (CI)</t>
        </is>
      </c>
      <c r="O169" s="8" t="inlineStr">
        <is>
          <t>CI (Node 22 / PostgreSQL 16)</t>
        </is>
      </c>
    </row>
    <row r="170">
      <c r="A170" s="8" t="inlineStr">
        <is>
          <t>TC-165</t>
        </is>
      </c>
      <c r="B170" s="8" t="inlineStr">
        <is>
          <t>TASCO core rating and product catalogue</t>
        </is>
      </c>
      <c r="C170" s="8" t="inlineStr">
        <is>
          <t>Core prices the quote</t>
        </is>
      </c>
      <c r="D170" s="8" t="inlineStr">
        <is>
          <t>core_with_fallback, simulated core. Agent quotes TNDS and personal accident cover per seat</t>
        </is>
      </c>
      <c r="E170" s="8" t="inlineStr"/>
      <c r="F170" s="8" t="inlineStr">
        <is>
          <t>Rating source core; core quote reference and rating version recorded; TNDS VND 480,700; audit records the source</t>
        </is>
      </c>
      <c r="G170" s="8" t="inlineStr">
        <is>
          <t>As expected. Evidence: test/integration/coreRating.test.js (9/9 passed)</t>
        </is>
      </c>
      <c r="H170" s="8" t="inlineStr">
        <is>
          <t>Pass</t>
        </is>
      </c>
      <c r="I170" s="8" t="inlineStr">
        <is>
          <t>Int</t>
        </is>
      </c>
      <c r="J170" s="8" t="inlineStr">
        <is>
          <t>P1</t>
        </is>
      </c>
      <c r="K170" s="8" t="inlineStr">
        <is>
          <t>integration/coreRating</t>
        </is>
      </c>
      <c r="L170" s="8" t="inlineStr">
        <is>
          <t>—</t>
        </is>
      </c>
      <c r="M170" s="8" t="inlineStr">
        <is>
          <t>2026-10-08</t>
        </is>
      </c>
      <c r="N170" s="8" t="inlineStr">
        <is>
          <t>Automated (CI)</t>
        </is>
      </c>
      <c r="O170" s="8" t="inlineStr">
        <is>
          <t>CI (Node 22 / PostgreSQL 16)</t>
        </is>
      </c>
    </row>
    <row r="171">
      <c r="A171" s="8" t="inlineStr">
        <is>
          <t>TC-166</t>
        </is>
      </c>
      <c r="B171" s="8" t="inlineStr">
        <is>
          <t>TASCO core rating and product catalogue</t>
        </is>
      </c>
      <c r="C171" s="8" t="inlineStr">
        <is>
          <t>Core business answer never overridden</t>
        </is>
      </c>
      <c r="D171" s="8" t="inlineStr">
        <is>
          <t>Core refers the risk to an underwriter. Quote</t>
        </is>
      </c>
      <c r="E171" s="8" t="inlineStr"/>
      <c r="F171" s="8" t="inlineStr">
        <is>
          <t>Referral message returned; no local price</t>
        </is>
      </c>
      <c r="G171" s="8" t="inlineStr">
        <is>
          <t>As expected. Evidence: test/integration/coreRating.test.js (9/9 passed)</t>
        </is>
      </c>
      <c r="H171" s="8" t="inlineStr">
        <is>
          <t>Pass</t>
        </is>
      </c>
      <c r="I171" s="8" t="inlineStr">
        <is>
          <t>Int</t>
        </is>
      </c>
      <c r="J171" s="8" t="inlineStr">
        <is>
          <t>P1</t>
        </is>
      </c>
      <c r="K171" s="8" t="inlineStr">
        <is>
          <t>integration/coreRating</t>
        </is>
      </c>
      <c r="L171" s="8" t="inlineStr">
        <is>
          <t>—</t>
        </is>
      </c>
      <c r="M171" s="8" t="inlineStr">
        <is>
          <t>2026-10-08</t>
        </is>
      </c>
      <c r="N171" s="8" t="inlineStr">
        <is>
          <t>Automated (CI)</t>
        </is>
      </c>
      <c r="O171" s="8" t="inlineStr">
        <is>
          <t>CI (Node 22 / PostgreSQL 16)</t>
        </is>
      </c>
    </row>
    <row r="172">
      <c r="A172" s="8" t="inlineStr">
        <is>
          <t>TC-167</t>
        </is>
      </c>
      <c r="B172" s="8" t="inlineStr">
        <is>
          <t>TASCO core rating and product catalogue</t>
        </is>
      </c>
      <c r="C172" s="8" t="inlineStr">
        <is>
          <t>Indicative quote cannot be paid</t>
        </is>
      </c>
      <c r="D172" s="8" t="inlineStr">
        <is>
          <t>core_with_fallback; core times out. Quote, then customer pays</t>
        </is>
      </c>
      <c r="E172" s="8" t="inlineStr"/>
      <c r="F172" s="8" t="inlineStr">
        <is>
          <t>Quote marked indicative (source rules_fallback, no core reference). Payment 422 reason indicative_quote; quote not claimed; no order or debit</t>
        </is>
      </c>
      <c r="G172" s="8" t="inlineStr">
        <is>
          <t>As expected. Evidence: test/integration/coreRating.test.js (9/9 passed)</t>
        </is>
      </c>
      <c r="H172" s="8" t="inlineStr">
        <is>
          <t>Pass</t>
        </is>
      </c>
      <c r="I172" s="8" t="inlineStr">
        <is>
          <t>Int</t>
        </is>
      </c>
      <c r="J172" s="8" t="inlineStr">
        <is>
          <t>P1</t>
        </is>
      </c>
      <c r="K172" s="8" t="inlineStr">
        <is>
          <t>integration/coreRating</t>
        </is>
      </c>
      <c r="L172" s="8" t="inlineStr">
        <is>
          <t>—</t>
        </is>
      </c>
      <c r="M172" s="8" t="inlineStr">
        <is>
          <t>2026-10-08</t>
        </is>
      </c>
      <c r="N172" s="8" t="inlineStr">
        <is>
          <t>Automated (CI)</t>
        </is>
      </c>
      <c r="O172" s="8" t="inlineStr">
        <is>
          <t>CI (Node 22 / PostgreSQL 16)</t>
        </is>
      </c>
    </row>
    <row r="173">
      <c r="A173" s="8" t="inlineStr">
        <is>
          <t>TC-168</t>
        </is>
      </c>
      <c r="B173" s="8" t="inlineStr">
        <is>
          <t>TASCO core rating and product catalogue</t>
        </is>
      </c>
      <c r="C173" s="8" t="inlineStr">
        <is>
          <t>Re-rate an indicative quote</t>
        </is>
      </c>
      <c r="D173" s="8" t="inlineStr">
        <is>
          <t>After TC-167. Re-rate while the circuit is open; re-rate after recovery; re-rate again; pay</t>
        </is>
      </c>
      <c r="E173" s="8" t="inlineStr"/>
      <c r="F173" s="8" t="inlineStr">
        <is>
          <t>Open circuit: 503, still indicative. After recovery: core-priced, previous total kept, audit quote.rerated. Again: 422 "no re-rating needed". Order and policy carry the core quote reference</t>
        </is>
      </c>
      <c r="G173" s="8" t="inlineStr">
        <is>
          <t>As expected. Evidence: test/integration/coreRating.test.js (9/9 passed)</t>
        </is>
      </c>
      <c r="H173" s="8" t="inlineStr">
        <is>
          <t>Pass</t>
        </is>
      </c>
      <c r="I173" s="8" t="inlineStr">
        <is>
          <t>Int</t>
        </is>
      </c>
      <c r="J173" s="8" t="inlineStr">
        <is>
          <t>P1</t>
        </is>
      </c>
      <c r="K173" s="8" t="inlineStr">
        <is>
          <t>integration/coreRating</t>
        </is>
      </c>
      <c r="L173" s="8" t="inlineStr">
        <is>
          <t>—</t>
        </is>
      </c>
      <c r="M173" s="8" t="inlineStr">
        <is>
          <t>2026-10-08</t>
        </is>
      </c>
      <c r="N173" s="8" t="inlineStr">
        <is>
          <t>Automated (CI)</t>
        </is>
      </c>
      <c r="O173" s="8" t="inlineStr">
        <is>
          <t>CI (Node 22 / PostgreSQL 16)</t>
        </is>
      </c>
    </row>
    <row r="174">
      <c r="A174" s="8" t="inlineStr">
        <is>
          <t>TC-169</t>
        </is>
      </c>
      <c r="B174" s="8" t="inlineStr">
        <is>
          <t>TASCO core rating and product catalogue</t>
        </is>
      </c>
      <c r="C174" s="8" t="inlineStr">
        <is>
          <t>Rating modes and fail-closed behaviour</t>
        </is>
      </c>
      <c r="D174" s="8" t="inlineStr">
        <is>
          <t>Rating service in each mode with core up and down</t>
        </is>
      </c>
      <c r="E174" s="8" t="inlineStr"/>
      <c r="F174" s="8" t="inlineStr">
        <is>
          <t>rules never calls core. core down: 503 "temporarily unavailable". Fallback only on unavailability; re-rate never falls back; programming errors not masked; core-only products 503</t>
        </is>
      </c>
      <c r="G174" s="8" t="inlineStr">
        <is>
          <t>As expected. Evidence: test/integration/coreRating.test.js (9/9 passed)</t>
        </is>
      </c>
      <c r="H174" s="8" t="inlineStr">
        <is>
          <t>Pass</t>
        </is>
      </c>
      <c r="I174" s="8" t="inlineStr">
        <is>
          <t>Int</t>
        </is>
      </c>
      <c r="J174" s="8" t="inlineStr">
        <is>
          <t>P1</t>
        </is>
      </c>
      <c r="K174" s="8" t="inlineStr">
        <is>
          <t>integration/coreRating</t>
        </is>
      </c>
      <c r="L174" s="8" t="inlineStr">
        <is>
          <t>—</t>
        </is>
      </c>
      <c r="M174" s="8" t="inlineStr">
        <is>
          <t>2026-10-08</t>
        </is>
      </c>
      <c r="N174" s="8" t="inlineStr">
        <is>
          <t>Automated (CI)</t>
        </is>
      </c>
      <c r="O174" s="8" t="inlineStr">
        <is>
          <t>CI (Node 22 / PostgreSQL 16)</t>
        </is>
      </c>
    </row>
    <row r="175">
      <c r="A175" s="8" t="inlineStr">
        <is>
          <t>TC-170</t>
        </is>
      </c>
      <c r="B175" s="8" t="inlineStr">
        <is>
          <t>TASCO core rating and product catalogue</t>
        </is>
      </c>
      <c r="C175" s="8" t="inlineStr">
        <is>
          <t>Real HTTP core: quote, pay, issue</t>
        </is>
      </c>
      <c r="D175" s="8" t="inlineStr">
        <is>
          <t>core mode against a local HTTP stub. Quote, pay; then take core down and quote</t>
        </is>
      </c>
      <c r="E175" s="8" t="inlineStr"/>
      <c r="F175" s="8" t="inlineStr">
        <is>
          <t>Idempotency key = quote ID; no plate or name in the rating request; quote validity capped by core's; issuance carries the core reference; core down: 503 and no quote stored</t>
        </is>
      </c>
      <c r="G175" s="8" t="inlineStr">
        <is>
          <t>As expected. Evidence: test/integration/coreRating.test.js (9/9 passed)</t>
        </is>
      </c>
      <c r="H175" s="8" t="inlineStr">
        <is>
          <t>Pass</t>
        </is>
      </c>
      <c r="I175" s="8" t="inlineStr">
        <is>
          <t>Int</t>
        </is>
      </c>
      <c r="J175" s="8" t="inlineStr">
        <is>
          <t>P1</t>
        </is>
      </c>
      <c r="K175" s="8" t="inlineStr">
        <is>
          <t>integration/coreRating</t>
        </is>
      </c>
      <c r="L175" s="8" t="inlineStr">
        <is>
          <t>—</t>
        </is>
      </c>
      <c r="M175" s="8" t="inlineStr">
        <is>
          <t>2026-10-08</t>
        </is>
      </c>
      <c r="N175" s="8" t="inlineStr">
        <is>
          <t>Automated (CI)</t>
        </is>
      </c>
      <c r="O175" s="8" t="inlineStr">
        <is>
          <t>CI (Node 22 / PostgreSQL 16)</t>
        </is>
      </c>
    </row>
    <row r="176">
      <c r="A176" s="8" t="inlineStr">
        <is>
          <t>TC-171</t>
        </is>
      </c>
      <c r="B176" s="8" t="inlineStr">
        <is>
          <t>TASCO core rating and product catalogue</t>
        </is>
      </c>
      <c r="C176" s="8" t="inlineStr">
        <is>
          <t>Staff and customer re-rate endpoints</t>
        </is>
      </c>
      <c r="D176" s="8" t="inlineStr">
        <is>
          <t>Core-priced quote. Supervisor and owning customer re-rate; another customer re-rates</t>
        </is>
      </c>
      <c r="E176" s="8" t="inlineStr"/>
      <c r="F176" s="8" t="inlineStr">
        <is>
          <t>422 for both (already core-priced); other customer 404</t>
        </is>
      </c>
      <c r="G176" s="8" t="inlineStr">
        <is>
          <t>As expected. Evidence: test/integration/coreRating.test.js (9/9 passed)</t>
        </is>
      </c>
      <c r="H176" s="8" t="inlineStr">
        <is>
          <t>Pass</t>
        </is>
      </c>
      <c r="I176" s="8" t="inlineStr">
        <is>
          <t>API</t>
        </is>
      </c>
      <c r="J176" s="8" t="inlineStr">
        <is>
          <t>P2</t>
        </is>
      </c>
      <c r="K176" s="8" t="inlineStr">
        <is>
          <t>integration/coreRating</t>
        </is>
      </c>
      <c r="L176" s="8" t="inlineStr">
        <is>
          <t>—</t>
        </is>
      </c>
      <c r="M176" s="8" t="inlineStr">
        <is>
          <t>2026-10-08</t>
        </is>
      </c>
      <c r="N176" s="8" t="inlineStr">
        <is>
          <t>Automated (CI)</t>
        </is>
      </c>
      <c r="O176" s="8" t="inlineStr">
        <is>
          <t>CI (Node 22 / PostgreSQL 16)</t>
        </is>
      </c>
    </row>
    <row r="177">
      <c r="A177" s="8" t="inlineStr">
        <is>
          <t>TC-172</t>
        </is>
      </c>
      <c r="B177" s="8" t="inlineStr">
        <is>
          <t>TASCO core rating and product catalogue</t>
        </is>
      </c>
      <c r="C177" s="8" t="inlineStr">
        <is>
          <t>Catalogue sync proposes, never activates</t>
        </is>
      </c>
      <c r="D177" s="8" t="inlineStr">
        <is>
          <t>Run the sync twice; then with a new, a renamed, a suspended and a withdrawn product; approve</t>
        </is>
      </c>
      <c r="E177" s="8" t="inlineStr"/>
      <c r="F177" s="8" t="inlineStr">
        <is>
          <t>Proposal pending approval by system:catalogue-sync; duplicate not queued; new product has no channels; withdrawn product marked; audit catalogue.sync_proposed; system cannot approve its own proposal; a human approver can</t>
        </is>
      </c>
      <c r="G177" s="8" t="inlineStr">
        <is>
          <t>As expected. Evidence: test/integration/coreRating.test.js (9/9 passed)</t>
        </is>
      </c>
      <c r="H177" s="8" t="inlineStr">
        <is>
          <t>Pass</t>
        </is>
      </c>
      <c r="I177" s="8" t="inlineStr">
        <is>
          <t>Int</t>
        </is>
      </c>
      <c r="J177" s="8" t="inlineStr">
        <is>
          <t>P1</t>
        </is>
      </c>
      <c r="K177" s="8" t="inlineStr">
        <is>
          <t>integration/coreRating</t>
        </is>
      </c>
      <c r="L177" s="8" t="inlineStr">
        <is>
          <t>—</t>
        </is>
      </c>
      <c r="M177" s="8" t="inlineStr">
        <is>
          <t>2026-10-08</t>
        </is>
      </c>
      <c r="N177" s="8" t="inlineStr">
        <is>
          <t>Automated (CI)</t>
        </is>
      </c>
      <c r="O177" s="8" t="inlineStr">
        <is>
          <t>CI (Node 22 / PostgreSQL 16)</t>
        </is>
      </c>
    </row>
    <row r="178">
      <c r="A178" s="8" t="inlineStr">
        <is>
          <t>TC-173</t>
        </is>
      </c>
      <c r="B178" s="8" t="inlineStr">
        <is>
          <t>TASCO core rating and product catalogue</t>
        </is>
      </c>
      <c r="C178" s="8" t="inlineStr">
        <is>
          <t>Catalogue sync failure recorded</t>
        </is>
      </c>
      <c r="D178" s="8" t="inlineStr">
        <is>
          <t>Core catalogue unavailable. Run the sync</t>
        </is>
      </c>
      <c r="E178" s="8" t="inlineStr"/>
      <c r="F178" s="8" t="inlineStr">
        <is>
          <t>Job fails and is recorded with the error; nothing proposed</t>
        </is>
      </c>
      <c r="G178" s="8" t="inlineStr">
        <is>
          <t>As expected. Evidence: test/integration/coreRating.test.js (9/9 passed)</t>
        </is>
      </c>
      <c r="H178" s="8" t="inlineStr">
        <is>
          <t>Pass</t>
        </is>
      </c>
      <c r="I178" s="8" t="inlineStr">
        <is>
          <t>Int</t>
        </is>
      </c>
      <c r="J178" s="8" t="inlineStr">
        <is>
          <t>P1</t>
        </is>
      </c>
      <c r="K178" s="8" t="inlineStr">
        <is>
          <t>integration/coreRating</t>
        </is>
      </c>
      <c r="L178" s="8" t="inlineStr">
        <is>
          <t>—</t>
        </is>
      </c>
      <c r="M178" s="8" t="inlineStr">
        <is>
          <t>2026-10-08</t>
        </is>
      </c>
      <c r="N178" s="8" t="inlineStr">
        <is>
          <t>Automated (CI)</t>
        </is>
      </c>
      <c r="O178" s="8" t="inlineStr">
        <is>
          <t>CI (Node 22 / PostgreSQL 16)</t>
        </is>
      </c>
    </row>
    <row r="179">
      <c r="A179" s="8" t="inlineStr">
        <is>
          <t>TC-174</t>
        </is>
      </c>
      <c r="B179" s="8" t="inlineStr">
        <is>
          <t>TASCO core rating and product catalogue</t>
        </is>
      </c>
      <c r="C179" s="8" t="inlineStr">
        <is>
          <t>Unchanged catalogue is a no-op</t>
        </is>
      </c>
      <c r="D179" s="8" t="inlineStr">
        <is>
          <t>Merge an identical catalogue</t>
        </is>
      </c>
      <c r="E179" s="8" t="inlineStr"/>
      <c r="F179" s="8" t="inlineStr">
        <is>
          <t>No changes; withdrawn products stay withdrawn</t>
        </is>
      </c>
      <c r="G179" s="8" t="inlineStr">
        <is>
          <t>As expected. Evidence: test/integration/coreRating.test.js (9/9 passed)</t>
        </is>
      </c>
      <c r="H179" s="8" t="inlineStr">
        <is>
          <t>Pass</t>
        </is>
      </c>
      <c r="I179" s="8" t="inlineStr">
        <is>
          <t>Unit</t>
        </is>
      </c>
      <c r="J179" s="8" t="inlineStr">
        <is>
          <t>P3</t>
        </is>
      </c>
      <c r="K179" s="8" t="inlineStr">
        <is>
          <t>integration/coreRating</t>
        </is>
      </c>
      <c r="L179" s="8" t="inlineStr">
        <is>
          <t>—</t>
        </is>
      </c>
      <c r="M179" s="8" t="inlineStr">
        <is>
          <t>2026-10-08</t>
        </is>
      </c>
      <c r="N179" s="8" t="inlineStr">
        <is>
          <t>Automated (CI)</t>
        </is>
      </c>
      <c r="O179" s="8" t="inlineStr">
        <is>
          <t>CI (Node 22 / PostgreSQL 16)</t>
        </is>
      </c>
    </row>
    <row r="180">
      <c r="A180" s="8" t="inlineStr">
        <is>
          <t>TC-175</t>
        </is>
      </c>
      <c r="B180" s="8" t="inlineStr">
        <is>
          <t>TASCO core rating and product catalogue</t>
        </is>
      </c>
      <c r="C180" s="8" t="inlineStr">
        <is>
          <t>Integration status and sync job</t>
        </is>
      </c>
      <c r="D180" s="8" t="inlineStr">
        <is>
          <t>support reads GET /api/integrations/status; agent and anonymous call it; run the catalogue-sync job</t>
        </is>
      </c>
      <c r="E180" s="8" t="inlineStr"/>
      <c r="F180" s="8" t="inlineStr">
        <is>
          <t>Source, circuit states and last sync shown; agent 403; anonymous 401; job returns proposed, already proposed or no change</t>
        </is>
      </c>
      <c r="G180" s="8" t="inlineStr">
        <is>
          <t>As expected. Evidence: test/integration/coreRating.test.js (9/9 passed)</t>
        </is>
      </c>
      <c r="H180" s="8" t="inlineStr">
        <is>
          <t>Pass</t>
        </is>
      </c>
      <c r="I180" s="8" t="inlineStr">
        <is>
          <t>API</t>
        </is>
      </c>
      <c r="J180" s="8" t="inlineStr">
        <is>
          <t>P1</t>
        </is>
      </c>
      <c r="K180" s="8" t="inlineStr">
        <is>
          <t>integration/coreRating</t>
        </is>
      </c>
      <c r="L180" s="8" t="inlineStr">
        <is>
          <t>—</t>
        </is>
      </c>
      <c r="M180" s="8" t="inlineStr">
        <is>
          <t>2026-10-08</t>
        </is>
      </c>
      <c r="N180" s="8" t="inlineStr">
        <is>
          <t>Automated (CI)</t>
        </is>
      </c>
      <c r="O180" s="8" t="inlineStr">
        <is>
          <t>CI (Node 22 / PostgreSQL 16)</t>
        </is>
      </c>
    </row>
    <row r="181">
      <c r="A181" s="8" t="inlineStr">
        <is>
          <t>TC-176</t>
        </is>
      </c>
      <c r="B181" s="8" t="inlineStr">
        <is>
          <t>TASCO core rating and product catalogue</t>
        </is>
      </c>
      <c r="C181" s="8" t="inlineStr">
        <is>
          <t>Production guards for rating</t>
        </is>
      </c>
      <c r="D181" s="8" t="inlineStr">
        <is>
          <t>Production configuration with rules; core without URL, with http, without credentials</t>
        </is>
      </c>
      <c r="E181" s="8" t="inlineStr"/>
      <c r="F181" s="8" t="inlineStr">
        <is>
          <t>Each refused at start-up; rules allowed only with ALLOW_LOCAL_RATING; a full core configuration loads</t>
        </is>
      </c>
      <c r="G181" s="8" t="inlineStr">
        <is>
          <t>As expected. Evidence: test/integration/coreRating.test.js (9/9 passed)</t>
        </is>
      </c>
      <c r="H181" s="8" t="inlineStr">
        <is>
          <t>Pass</t>
        </is>
      </c>
      <c r="I181" s="8" t="inlineStr">
        <is>
          <t>Unit</t>
        </is>
      </c>
      <c r="J181" s="8" t="inlineStr">
        <is>
          <t>P1</t>
        </is>
      </c>
      <c r="K181" s="8" t="inlineStr">
        <is>
          <t>integration/coreRating</t>
        </is>
      </c>
      <c r="L181" s="8" t="inlineStr">
        <is>
          <t>—</t>
        </is>
      </c>
      <c r="M181" s="8" t="inlineStr">
        <is>
          <t>2026-10-08</t>
        </is>
      </c>
      <c r="N181" s="8" t="inlineStr">
        <is>
          <t>Automated (CI)</t>
        </is>
      </c>
      <c r="O181" s="8" t="inlineStr">
        <is>
          <t>CI (Node 22 / PostgreSQL 16)</t>
        </is>
      </c>
    </row>
    <row r="182">
      <c r="A182" s="8" t="inlineStr">
        <is>
          <t>TC-177</t>
        </is>
      </c>
      <c r="B182" s="8" t="inlineStr">
        <is>
          <t>TASCO core rating and product catalogue</t>
        </is>
      </c>
      <c r="C182" s="8" t="inlineStr">
        <is>
          <t>Client authentication and headers</t>
        </is>
      </c>
      <c r="D182" s="8" t="inlineStr">
        <is>
          <t>Unit client. Quote; token expiry; core returns 401</t>
        </is>
      </c>
      <c r="E182" s="8" t="inlineStr"/>
      <c r="F182" s="8" t="inlineStr">
        <is>
          <t>OAuth client credentials, cached token, idempotency and tracing headers, no personal data, mapped response. Token refreshed before expiry; a 401 drops the token and the retry succeeds</t>
        </is>
      </c>
      <c r="G182" s="8" t="inlineStr">
        <is>
          <t>As expected. Evidence: test/unit/tascoCoreRatingClient.test.js (8/8 passed)</t>
        </is>
      </c>
      <c r="H182" s="8" t="inlineStr">
        <is>
          <t>Pass</t>
        </is>
      </c>
      <c r="I182" s="8" t="inlineStr">
        <is>
          <t>Unit</t>
        </is>
      </c>
      <c r="J182" s="8" t="inlineStr">
        <is>
          <t>P1</t>
        </is>
      </c>
      <c r="K182" s="8" t="inlineStr">
        <is>
          <t>unit/tascoCoreRatingClient</t>
        </is>
      </c>
      <c r="L182" s="8" t="inlineStr">
        <is>
          <t>—</t>
        </is>
      </c>
      <c r="M182" s="8" t="inlineStr">
        <is>
          <t>2026-10-08</t>
        </is>
      </c>
      <c r="N182" s="8" t="inlineStr">
        <is>
          <t>Automated (CI)</t>
        </is>
      </c>
      <c r="O182" s="8" t="inlineStr">
        <is>
          <t>CI (Node 22 / PostgreSQL 16)</t>
        </is>
      </c>
    </row>
    <row r="183">
      <c r="A183" s="8" t="inlineStr">
        <is>
          <t>TC-178</t>
        </is>
      </c>
      <c r="B183" s="8" t="inlineStr">
        <is>
          <t>TASCO core rating and product catalogue</t>
        </is>
      </c>
      <c r="C183" s="8" t="inlineStr">
        <is>
          <t>Client error handling and circuit</t>
        </is>
      </c>
      <c r="D183" s="8" t="inlineStr">
        <is>
          <t>Core business errors; 5xx and 429; timeouts, unreachable core, token failures</t>
        </is>
      </c>
      <c r="E183" s="8" t="inlineStr"/>
      <c r="F183" s="8" t="inlineStr">
        <is>
          <t>Business errors mapped, not retried, circuit stays closed. 5xx and 429 retried then upstream-unavailable; repeated failure opens the circuit. Timeouts and network failures carry a reason</t>
        </is>
      </c>
      <c r="G183" s="8" t="inlineStr">
        <is>
          <t>As expected. Evidence: test/unit/tascoCoreRatingClient.test.js (8/8 passed)</t>
        </is>
      </c>
      <c r="H183" s="8" t="inlineStr">
        <is>
          <t>Pass</t>
        </is>
      </c>
      <c r="I183" s="8" t="inlineStr">
        <is>
          <t>Unit</t>
        </is>
      </c>
      <c r="J183" s="8" t="inlineStr">
        <is>
          <t>P1</t>
        </is>
      </c>
      <c r="K183" s="8" t="inlineStr">
        <is>
          <t>unit/tascoCoreRatingClient</t>
        </is>
      </c>
      <c r="L183" s="8" t="inlineStr">
        <is>
          <t>—</t>
        </is>
      </c>
      <c r="M183" s="8" t="inlineStr">
        <is>
          <t>2026-10-08</t>
        </is>
      </c>
      <c r="N183" s="8" t="inlineStr">
        <is>
          <t>Automated (CI)</t>
        </is>
      </c>
      <c r="O183" s="8" t="inlineStr">
        <is>
          <t>CI (Node 22 / PostgreSQL 16)</t>
        </is>
      </c>
    </row>
    <row r="184">
      <c r="A184" s="8" t="inlineStr">
        <is>
          <t>TC-179</t>
        </is>
      </c>
      <c r="B184" s="8" t="inlineStr">
        <is>
          <t>TASCO core rating and product catalogue</t>
        </is>
      </c>
      <c r="C184" s="8" t="inlineStr">
        <is>
          <t>Client response contract</t>
        </is>
      </c>
      <c r="D184" s="8" t="inlineStr">
        <is>
          <t>Malformed quote response; catalogue with new fields and with duplicates</t>
        </is>
      </c>
      <c r="E184" s="8" t="inlineStr"/>
      <c r="F184" s="8" t="inlineStr">
        <is>
          <t>Contract violations rejected as unavailable; unknown fields ignored; duplicate products rejected</t>
        </is>
      </c>
      <c r="G184" s="8" t="inlineStr">
        <is>
          <t>As expected. Evidence: test/unit/tascoCoreRatingClient.test.js (8/8 passed)</t>
        </is>
      </c>
      <c r="H184" s="8" t="inlineStr">
        <is>
          <t>Pass</t>
        </is>
      </c>
      <c r="I184" s="8" t="inlineStr">
        <is>
          <t>Unit</t>
        </is>
      </c>
      <c r="J184" s="8" t="inlineStr">
        <is>
          <t>P1</t>
        </is>
      </c>
      <c r="K184" s="8" t="inlineStr">
        <is>
          <t>unit/tascoCoreRatingClient</t>
        </is>
      </c>
      <c r="L184" s="8" t="inlineStr">
        <is>
          <t>—</t>
        </is>
      </c>
      <c r="M184" s="8" t="inlineStr">
        <is>
          <t>2026-10-08</t>
        </is>
      </c>
      <c r="N184" s="8" t="inlineStr">
        <is>
          <t>Automated (CI)</t>
        </is>
      </c>
      <c r="O184" s="8" t="inlineStr">
        <is>
          <t>CI (Node 22 / PostgreSQL 16)</t>
        </is>
      </c>
    </row>
    <row r="185">
      <c r="A185" s="8" t="inlineStr">
        <is>
          <t>TC-180</t>
        </is>
      </c>
      <c r="B185" s="8" t="inlineStr">
        <is>
          <t>TASCO core rating and product catalogue</t>
        </is>
      </c>
      <c r="C185" s="8" t="inlineStr">
        <is>
          <t>Rating and catalogue against TASCO core UAT</t>
        </is>
      </c>
      <c r="D185" s="8" t="inlineStr">
        <is>
          <t>Confirmed interface specification; UAT credentials. Quote each product; fetch the catalogue; bind and issue with the core reference</t>
        </is>
      </c>
      <c r="E185" s="8" t="inlineStr"/>
      <c r="F185" s="8" t="inlineStr">
        <is>
          <t>Prices match TASCO's expected values; catalogue validates; issuance binds the quoted price</t>
        </is>
      </c>
      <c r="G185" s="8" t="inlineStr">
        <is>
          <t>Scheduled for SIT with production VETC/TASCO/Zalo adapters; no automated evidence in this run.</t>
        </is>
      </c>
      <c r="H185" s="8" t="inlineStr">
        <is>
          <t>Not Run</t>
        </is>
      </c>
      <c r="I185" s="8" t="inlineStr">
        <is>
          <t>SIT</t>
        </is>
      </c>
      <c r="J185" s="8" t="inlineStr">
        <is>
          <t>P1</t>
        </is>
      </c>
      <c r="K185" s="8" t="inlineStr">
        <is>
          <t>Manual</t>
        </is>
      </c>
      <c r="L185" s="8" t="inlineStr">
        <is>
          <t>—</t>
        </is>
      </c>
      <c r="M185" s="8" t="inlineStr"/>
      <c r="N185" s="8" t="inlineStr"/>
      <c r="O185" s="8" t="inlineStr"/>
    </row>
    <row r="186">
      <c r="A186" s="8" t="inlineStr">
        <is>
          <t>TC-181</t>
        </is>
      </c>
      <c r="B186" s="8" t="inlineStr">
        <is>
          <t>Customer channels and vehicle confirmation</t>
        </is>
      </c>
      <c r="C186" s="8" t="inlineStr">
        <is>
          <t>Customer confirms vehicle use and seats</t>
        </is>
      </c>
      <c r="D186" s="8" t="inlineStr">
        <is>
          <t>Private car under 6 seats. Quote TNDS; confirm commercial use with 5 seats; quote again. Also send seats 0, and seats without use</t>
        </is>
      </c>
      <c r="E186" s="8" t="inlineStr"/>
      <c r="F186" s="8" t="inlineStr">
        <is>
          <t>Invalid input refused with 400. The vehicle is re-categorised, the confirmation is kept as source evidence and the TNDS premium rises to the commercial tariff</t>
        </is>
      </c>
      <c r="G186" s="8" t="inlineStr">
        <is>
          <t>As expected. Evidence: test/api/api.test.js (12/12 passed)</t>
        </is>
      </c>
      <c r="H186" s="8" t="inlineStr">
        <is>
          <t>Pass</t>
        </is>
      </c>
      <c r="I186" s="8" t="inlineStr">
        <is>
          <t>API</t>
        </is>
      </c>
      <c r="J186" s="8" t="inlineStr">
        <is>
          <t>P1</t>
        </is>
      </c>
      <c r="K186" s="8" t="inlineStr">
        <is>
          <t>api/api</t>
        </is>
      </c>
      <c r="L186" s="8" t="inlineStr">
        <is>
          <t>—</t>
        </is>
      </c>
      <c r="M186" s="8" t="inlineStr">
        <is>
          <t>2026-10-08</t>
        </is>
      </c>
      <c r="N186" s="8" t="inlineStr">
        <is>
          <t>Automated (CI)</t>
        </is>
      </c>
      <c r="O186" s="8" t="inlineStr">
        <is>
          <t>CI (Node 22 / PostgreSQL 16)</t>
        </is>
      </c>
    </row>
    <row r="187">
      <c r="A187" s="8" t="inlineStr">
        <is>
          <t>TC-182</t>
        </is>
      </c>
      <c r="B187" s="8" t="inlineStr">
        <is>
          <t>Customer channels and vehicle confirmation</t>
        </is>
      </c>
      <c r="C187" s="8" t="inlineStr">
        <is>
          <t>Same journeys in every host app</t>
        </is>
      </c>
      <c r="D187" s="8" t="inlineStr">
        <is>
          <t>Open sessions with channel tasco_web, zalo_mini_app, none and an unknown host. Quote and pay in the TASCO web session</t>
        </is>
      </c>
      <c r="E187" s="8" t="inlineStr"/>
      <c r="F187" s="8" t="inlineStr">
        <is>
          <t>Unknown host refused with 400; no channel defaults to the VETC app. Quotes and orders carry the host channel. The TASCO web order is paid through the TASCO payment gateway (reference starting TP-)</t>
        </is>
      </c>
      <c r="G187" s="8" t="inlineStr">
        <is>
          <t>As expected. Evidence: test/api/api.test.js (12/12 passed)</t>
        </is>
      </c>
      <c r="H187" s="8" t="inlineStr">
        <is>
          <t>Pass</t>
        </is>
      </c>
      <c r="I187" s="8" t="inlineStr">
        <is>
          <t>API</t>
        </is>
      </c>
      <c r="J187" s="8" t="inlineStr">
        <is>
          <t>P1</t>
        </is>
      </c>
      <c r="K187" s="8" t="inlineStr">
        <is>
          <t>api/api</t>
        </is>
      </c>
      <c r="L187" s="8" t="inlineStr">
        <is>
          <t>—</t>
        </is>
      </c>
      <c r="M187" s="8" t="inlineStr">
        <is>
          <t>2026-10-08</t>
        </is>
      </c>
      <c r="N187" s="8" t="inlineStr">
        <is>
          <t>Automated (CI)</t>
        </is>
      </c>
      <c r="O187" s="8" t="inlineStr">
        <is>
          <t>CI (Node 22 / PostgreSQL 16)</t>
        </is>
      </c>
    </row>
    <row r="188">
      <c r="A188" s="8" t="inlineStr">
        <is>
          <t>TC-183</t>
        </is>
      </c>
      <c r="B188" s="8" t="inlineStr">
        <is>
          <t>Customer channels and vehicle confirmation</t>
        </is>
      </c>
      <c r="C188" s="8" t="inlineStr">
        <is>
          <t>Host wording in the customer app</t>
        </is>
      </c>
      <c r="D188" s="8" t="inlineStr">
        <is>
          <t>Open the app with ?channel=tasco_web and with no channel; go to the payment step</t>
        </is>
      </c>
      <c r="E188" s="8" t="inlineStr"/>
      <c r="F188" s="8" t="inlineStr">
        <is>
          <t>TASCO hosts show "Thanh toán qua cổng TASCO"; VETC hosts show the VETC wallet. Splash and error text name the right host</t>
        </is>
      </c>
      <c r="G188" s="8" t="inlineStr">
        <is>
          <t>Scheduled for manual execution (accessibility / exploratory); no automated evidence in this run.</t>
        </is>
      </c>
      <c r="H188" s="8" t="inlineStr">
        <is>
          <t>Not Run</t>
        </is>
      </c>
      <c r="I188" s="8" t="inlineStr">
        <is>
          <t>UI</t>
        </is>
      </c>
      <c r="J188" s="8" t="inlineStr">
        <is>
          <t>P2</t>
        </is>
      </c>
      <c r="K188" s="8" t="inlineStr">
        <is>
          <t>Manual</t>
        </is>
      </c>
      <c r="L188" s="8" t="inlineStr">
        <is>
          <t>—</t>
        </is>
      </c>
      <c r="M188" s="8" t="inlineStr"/>
      <c r="N188" s="8" t="inlineStr"/>
      <c r="O188" s="8" t="inlineStr"/>
    </row>
    <row r="189">
      <c r="A189" s="8" t="inlineStr">
        <is>
          <t>TC-184</t>
        </is>
      </c>
      <c r="B189" s="8" t="inlineStr">
        <is>
          <t>Data requests and quick renewal</t>
        </is>
      </c>
      <c r="C189" s="8" t="inlineStr">
        <is>
          <t>Log a data request and keep a record</t>
        </is>
      </c>
      <c r="D189" s="8" t="inlineStr">
        <is>
          <t>compliance logs an access request by plate, channel hotline, with a note. Read the register and the detail</t>
        </is>
      </c>
      <c r="E189" s="8" t="inlineStr"/>
      <c r="F189" s="8" t="inlineStr">
        <is>
          <t>200, ID DSR-yymmdd-XXXX, status received, due 72 hours after receipt. Register masks the name and shows no phone. Detail shows a timeline and counts of data held, never the data. Audit dsar.request_logged, dsar.request_viewed, dsar.register_viewed</t>
        </is>
      </c>
      <c r="G189" s="8" t="inlineStr">
        <is>
          <t>As expected. Evidence: test/api/dsarQuickRenewal.test.js (10/10 passed)</t>
        </is>
      </c>
      <c r="H189" s="8" t="inlineStr">
        <is>
          <t>Pass</t>
        </is>
      </c>
      <c r="I189" s="8" t="inlineStr">
        <is>
          <t>API</t>
        </is>
      </c>
      <c r="J189" s="8" t="inlineStr">
        <is>
          <t>P1</t>
        </is>
      </c>
      <c r="K189" s="8" t="inlineStr">
        <is>
          <t>api/dsarQuickRenewal</t>
        </is>
      </c>
      <c r="L189" s="8" t="inlineStr">
        <is>
          <t>—</t>
        </is>
      </c>
      <c r="M189" s="8" t="inlineStr">
        <is>
          <t>2026-10-08</t>
        </is>
      </c>
      <c r="N189" s="8" t="inlineStr">
        <is>
          <t>Automated (CI)</t>
        </is>
      </c>
      <c r="O189" s="8" t="inlineStr">
        <is>
          <t>CI (Node 22 / PostgreSQL 16)</t>
        </is>
      </c>
    </row>
    <row r="190">
      <c r="A190" s="8" t="inlineStr">
        <is>
          <t>TC-185</t>
        </is>
      </c>
      <c r="B190" s="8" t="inlineStr">
        <is>
          <t>Data requests and quick renewal</t>
        </is>
      </c>
      <c r="C190" s="8" t="inlineStr">
        <is>
          <t>New request validation</t>
        </is>
      </c>
      <c r="D190" s="8" t="inlineStr">
        <is>
          <t>Log with type delete, channel fax, no customer, plate XX, an unknown plate, a future, unreadable or too old received date</t>
        </is>
      </c>
      <c r="E190" s="8" t="inlineStr"/>
      <c r="F190" s="8" t="inlineStr">
        <is>
          <t>400 for each invalid value; 404 for the unknown plate; nothing logged</t>
        </is>
      </c>
      <c r="G190" s="8" t="inlineStr">
        <is>
          <t>As expected. Evidence: test/api/dsarQuickRenewal.test.js (10/10 passed)</t>
        </is>
      </c>
      <c r="H190" s="8" t="inlineStr">
        <is>
          <t>Pass</t>
        </is>
      </c>
      <c r="I190" s="8" t="inlineStr">
        <is>
          <t>API</t>
        </is>
      </c>
      <c r="J190" s="8" t="inlineStr">
        <is>
          <t>P2</t>
        </is>
      </c>
      <c r="K190" s="8" t="inlineStr">
        <is>
          <t>api/dsarQuickRenewal</t>
        </is>
      </c>
      <c r="L190" s="8" t="inlineStr">
        <is>
          <t>—</t>
        </is>
      </c>
      <c r="M190" s="8" t="inlineStr">
        <is>
          <t>2026-10-08</t>
        </is>
      </c>
      <c r="N190" s="8" t="inlineStr">
        <is>
          <t>Automated (CI)</t>
        </is>
      </c>
      <c r="O190" s="8" t="inlineStr">
        <is>
          <t>CI (Node 22 / PostgreSQL 16)</t>
        </is>
      </c>
    </row>
    <row r="191">
      <c r="A191" s="8" t="inlineStr">
        <is>
          <t>TC-186</t>
        </is>
      </c>
      <c r="B191" s="8" t="inlineStr">
        <is>
          <t>Data requests and quick renewal</t>
        </is>
      </c>
      <c r="C191" s="8" t="inlineStr">
        <is>
          <t>Identity required before export</t>
        </is>
      </c>
      <c r="D191" s="8" t="inlineStr">
        <is>
          <t>Access request received by email. Export at once; start without verification; start again with identity verified</t>
        </is>
      </c>
      <c r="E191" s="8" t="inlineStr"/>
      <c r="F191" s="8" t="inlineStr">
        <is>
          <t>Export 422. Start: in progress, identity not verified. Second start: identity verified, still in progress</t>
        </is>
      </c>
      <c r="G191" s="8" t="inlineStr">
        <is>
          <t>As expected. Evidence: test/api/dsarQuickRenewal.test.js (10/10 passed)</t>
        </is>
      </c>
      <c r="H191" s="8" t="inlineStr">
        <is>
          <t>Pass</t>
        </is>
      </c>
      <c r="I191" s="8" t="inlineStr">
        <is>
          <t>API</t>
        </is>
      </c>
      <c r="J191" s="8" t="inlineStr">
        <is>
          <t>P1</t>
        </is>
      </c>
      <c r="K191" s="8" t="inlineStr">
        <is>
          <t>api/dsarQuickRenewal</t>
        </is>
      </c>
      <c r="L191" s="8" t="inlineStr">
        <is>
          <t>—</t>
        </is>
      </c>
      <c r="M191" s="8" t="inlineStr">
        <is>
          <t>2026-10-08</t>
        </is>
      </c>
      <c r="N191" s="8" t="inlineStr">
        <is>
          <t>Automated (CI)</t>
        </is>
      </c>
      <c r="O191" s="8" t="inlineStr">
        <is>
          <t>CI (Node 22 / PostgreSQL 16)</t>
        </is>
      </c>
    </row>
    <row r="192">
      <c r="A192" s="8" t="inlineStr">
        <is>
          <t>TC-187</t>
        </is>
      </c>
      <c r="B192" s="8" t="inlineStr">
        <is>
          <t>Data requests and quick renewal</t>
        </is>
      </c>
      <c r="C192" s="8" t="inlineStr">
        <is>
          <t>Export download completes the request</t>
        </is>
      </c>
      <c r="D192" s="8" t="inlineStr">
        <is>
          <t>After TC-186. Complete the export; then export, refuse and start again</t>
        </is>
      </c>
      <c r="E192" s="8" t="inlineStr"/>
      <c r="F192" s="8" t="inlineStr">
        <is>
          <t>200 with file name TASCO-data-&lt;plate&gt;-&lt;date&gt;.json and the customer's data. Request completed, outcome exported, timeline received, in progress, identity verified, completed. Later actions 422. Completed-in-30-days count rises</t>
        </is>
      </c>
      <c r="G192" s="8" t="inlineStr">
        <is>
          <t>As expected. Evidence: test/api/dsarQuickRenewal.test.js (10/10 passed)</t>
        </is>
      </c>
      <c r="H192" s="8" t="inlineStr">
        <is>
          <t>Pass</t>
        </is>
      </c>
      <c r="I192" s="8" t="inlineStr">
        <is>
          <t>API</t>
        </is>
      </c>
      <c r="J192" s="8" t="inlineStr">
        <is>
          <t>P1</t>
        </is>
      </c>
      <c r="K192" s="8" t="inlineStr">
        <is>
          <t>api/dsarQuickRenewal</t>
        </is>
      </c>
      <c r="L192" s="8" t="inlineStr">
        <is>
          <t>—</t>
        </is>
      </c>
      <c r="M192" s="8" t="inlineStr">
        <is>
          <t>2026-10-08</t>
        </is>
      </c>
      <c r="N192" s="8" t="inlineStr">
        <is>
          <t>Automated (CI)</t>
        </is>
      </c>
      <c r="O192" s="8" t="inlineStr">
        <is>
          <t>CI (Node 22 / PostgreSQL 16)</t>
        </is>
      </c>
    </row>
    <row r="193">
      <c r="A193" s="8" t="inlineStr">
        <is>
          <t>TC-188</t>
        </is>
      </c>
      <c r="B193" s="8" t="inlineStr">
        <is>
          <t>Data requests and quick renewal</t>
        </is>
      </c>
      <c r="C193" s="8" t="inlineStr">
        <is>
          <t>Action must match the request type</t>
        </is>
      </c>
      <c r="D193" s="8" t="inlineStr">
        <is>
          <t>Erasure request: complete an export. Access request: erase</t>
        </is>
      </c>
      <c r="E193" s="8" t="inlineStr"/>
      <c r="F193" s="8" t="inlineStr">
        <is>
          <t>422 for both; nothing exported or erased</t>
        </is>
      </c>
      <c r="G193" s="8" t="inlineStr">
        <is>
          <t>As expected. Evidence: test/api/dsarQuickRenewal.test.js (10/10 passed)</t>
        </is>
      </c>
      <c r="H193" s="8" t="inlineStr">
        <is>
          <t>Pass</t>
        </is>
      </c>
      <c r="I193" s="8" t="inlineStr">
        <is>
          <t>API</t>
        </is>
      </c>
      <c r="J193" s="8" t="inlineStr">
        <is>
          <t>P2</t>
        </is>
      </c>
      <c r="K193" s="8" t="inlineStr">
        <is>
          <t>api/dsarQuickRenewal</t>
        </is>
      </c>
      <c r="L193" s="8" t="inlineStr">
        <is>
          <t>—</t>
        </is>
      </c>
      <c r="M193" s="8" t="inlineStr">
        <is>
          <t>2026-10-08</t>
        </is>
      </c>
      <c r="N193" s="8" t="inlineStr">
        <is>
          <t>Automated (CI)</t>
        </is>
      </c>
      <c r="O193" s="8" t="inlineStr">
        <is>
          <t>CI (Node 22 / PostgreSQL 16)</t>
        </is>
      </c>
    </row>
    <row r="194">
      <c r="A194" s="8" t="inlineStr">
        <is>
          <t>TC-189</t>
        </is>
      </c>
      <c r="B194" s="8" t="inlineStr">
        <is>
          <t>Data requests and quick renewal</t>
        </is>
      </c>
      <c r="C194" s="8" t="inlineStr">
        <is>
          <t>Erasure refused while a policy is in force</t>
        </is>
      </c>
      <c r="D194" s="8" t="inlineStr">
        <is>
          <t>Customer with a TASCO policy in force; erasure request with identity verified. Erase without a reason; with a wrong plate; with the right plate</t>
        </is>
      </c>
      <c r="E194" s="8" t="inlineStr"/>
      <c r="F194" s="8" t="inlineStr">
        <is>
          <t>400 without a reason; 400 for the wrong plate. With the right plate: request refused, reason "Hợp đồng bảo hiểm còn hiệu lực đến dd/mm/yyyy…"; nothing erased</t>
        </is>
      </c>
      <c r="G194" s="8" t="inlineStr">
        <is>
          <t>As expected. Evidence: test/api/dsarQuickRenewal.test.js (10/10 passed)</t>
        </is>
      </c>
      <c r="H194" s="8" t="inlineStr">
        <is>
          <t>Pass</t>
        </is>
      </c>
      <c r="I194" s="8" t="inlineStr">
        <is>
          <t>API</t>
        </is>
      </c>
      <c r="J194" s="8" t="inlineStr">
        <is>
          <t>P1</t>
        </is>
      </c>
      <c r="K194" s="8" t="inlineStr">
        <is>
          <t>api/dsarQuickRenewal</t>
        </is>
      </c>
      <c r="L194" s="8" t="inlineStr">
        <is>
          <t>—</t>
        </is>
      </c>
      <c r="M194" s="8" t="inlineStr">
        <is>
          <t>2026-10-08</t>
        </is>
      </c>
      <c r="N194" s="8" t="inlineStr">
        <is>
          <t>Automated (CI)</t>
        </is>
      </c>
      <c r="O194" s="8" t="inlineStr">
        <is>
          <t>CI (Node 22 / PostgreSQL 16)</t>
        </is>
      </c>
    </row>
    <row r="195">
      <c r="A195" s="8" t="inlineStr">
        <is>
          <t>TC-190</t>
        </is>
      </c>
      <c r="B195" s="8" t="inlineStr">
        <is>
          <t>Data requests and quick renewal</t>
        </is>
      </c>
      <c r="C195" s="8" t="inlineStr">
        <is>
          <t>Erasure anonymises</t>
        </is>
      </c>
      <c r="D195" s="8" t="inlineStr">
        <is>
          <t>Customer without a policy; erasure request by app. Erase before identity is verified; then with reason, typed plate and identity verified</t>
        </is>
      </c>
      <c r="E195" s="8" t="inlineStr"/>
      <c r="F195" s="8" t="inlineStr">
        <is>
          <t>First 422. Then profile anonymised; request completed, outcome erased; the customer's other requests show no name. Audit dsar.erased, dsar.request_completed</t>
        </is>
      </c>
      <c r="G195" s="8" t="inlineStr">
        <is>
          <t>As expected. Evidence: test/api/dsarQuickRenewal.test.js (10/10 passed)</t>
        </is>
      </c>
      <c r="H195" s="8" t="inlineStr">
        <is>
          <t>Pass</t>
        </is>
      </c>
      <c r="I195" s="8" t="inlineStr">
        <is>
          <t>API</t>
        </is>
      </c>
      <c r="J195" s="8" t="inlineStr">
        <is>
          <t>P1</t>
        </is>
      </c>
      <c r="K195" s="8" t="inlineStr">
        <is>
          <t>api/dsarQuickRenewal</t>
        </is>
      </c>
      <c r="L195" s="8" t="inlineStr">
        <is>
          <t>—</t>
        </is>
      </c>
      <c r="M195" s="8" t="inlineStr">
        <is>
          <t>2026-10-08</t>
        </is>
      </c>
      <c r="N195" s="8" t="inlineStr">
        <is>
          <t>Automated (CI)</t>
        </is>
      </c>
      <c r="O195" s="8" t="inlineStr">
        <is>
          <t>CI (Node 22 / PostgreSQL 16)</t>
        </is>
      </c>
    </row>
    <row r="196">
      <c r="A196" s="8" t="inlineStr">
        <is>
          <t>TC-191</t>
        </is>
      </c>
      <c r="B196" s="8" t="inlineStr">
        <is>
          <t>Data requests and quick renewal</t>
        </is>
      </c>
      <c r="C196" s="8" t="inlineStr">
        <is>
          <t>Refuse a request with a reason</t>
        </is>
      </c>
      <c r="D196" s="8" t="inlineStr">
        <is>
          <t>Open access request. Refuse with reason "x"; then with a full reason</t>
        </is>
      </c>
      <c r="E196" s="8" t="inlineStr"/>
      <c r="F196" s="8" t="inlineStr">
        <is>
          <t>400 for the short reason. Then status refused with the reason recorded; audit dsar.request_refused</t>
        </is>
      </c>
      <c r="G196" s="8" t="inlineStr">
        <is>
          <t>As expected. Evidence: test/api/dsarQuickRenewal.test.js (10/10 passed)</t>
        </is>
      </c>
      <c r="H196" s="8" t="inlineStr">
        <is>
          <t>Pass</t>
        </is>
      </c>
      <c r="I196" s="8" t="inlineStr">
        <is>
          <t>API</t>
        </is>
      </c>
      <c r="J196" s="8" t="inlineStr">
        <is>
          <t>P1</t>
        </is>
      </c>
      <c r="K196" s="8" t="inlineStr">
        <is>
          <t>api/dsarQuickRenewal</t>
        </is>
      </c>
      <c r="L196" s="8" t="inlineStr">
        <is>
          <t>—</t>
        </is>
      </c>
      <c r="M196" s="8" t="inlineStr">
        <is>
          <t>2026-10-08</t>
        </is>
      </c>
      <c r="N196" s="8" t="inlineStr">
        <is>
          <t>Automated (CI)</t>
        </is>
      </c>
      <c r="O196" s="8" t="inlineStr">
        <is>
          <t>CI (Node 22 / PostgreSQL 16)</t>
        </is>
      </c>
    </row>
    <row r="197">
      <c r="A197" s="8" t="inlineStr">
        <is>
          <t>TC-192</t>
        </is>
      </c>
      <c r="B197" s="8" t="inlineStr">
        <is>
          <t>Data requests and quick renewal</t>
        </is>
      </c>
      <c r="C197" s="8" t="inlineStr">
        <is>
          <t>Only compliance handles data requests</t>
        </is>
      </c>
      <c r="D197" s="8" t="inlineStr">
        <is>
          <t>No token; then agent.hn, admin, steward, claims and auditor. List, log, open, refuse and export</t>
        </is>
      </c>
      <c r="E197" s="8" t="inlineStr"/>
      <c r="F197" s="8" t="inlineStr">
        <is>
          <t>401 without a token; 403 for every other role on every action</t>
        </is>
      </c>
      <c r="G197" s="8" t="inlineStr">
        <is>
          <t>As expected. Evidence: test/api/dsarQuickRenewal.test.js (10/10 passed)</t>
        </is>
      </c>
      <c r="H197" s="8" t="inlineStr">
        <is>
          <t>Pass</t>
        </is>
      </c>
      <c r="I197" s="8" t="inlineStr">
        <is>
          <t>API</t>
        </is>
      </c>
      <c r="J197" s="8" t="inlineStr">
        <is>
          <t>P1</t>
        </is>
      </c>
      <c r="K197" s="8" t="inlineStr">
        <is>
          <t>api/dsarQuickRenewal</t>
        </is>
      </c>
      <c r="L197" s="8" t="inlineStr">
        <is>
          <t>—</t>
        </is>
      </c>
      <c r="M197" s="8" t="inlineStr">
        <is>
          <t>2026-10-08</t>
        </is>
      </c>
      <c r="N197" s="8" t="inlineStr">
        <is>
          <t>Automated (CI)</t>
        </is>
      </c>
      <c r="O197" s="8" t="inlineStr">
        <is>
          <t>CI (Node 22 / PostgreSQL 16)</t>
        </is>
      </c>
    </row>
    <row r="198">
      <c r="A198" s="8" t="inlineStr">
        <is>
          <t>TC-193</t>
        </is>
      </c>
      <c r="B198" s="8" t="inlineStr">
        <is>
          <t>Data requests and quick renewal</t>
        </is>
      </c>
      <c r="C198" s="8" t="inlineStr">
        <is>
          <t>Response time and overdue requests</t>
        </is>
      </c>
      <c r="D198" s="8" t="inlineStr">
        <is>
          <t>Request logged by phone, received four days ago, identity verified. Filter overdue and not overdue</t>
        </is>
      </c>
      <c r="E198" s="8" t="inlineStr"/>
      <c r="F198" s="8" t="inlineStr">
        <is>
          <t>Request overdue. The overdue filter returns only overdue requests and the overdue count is at least 1; the not-overdue filter returns none</t>
        </is>
      </c>
      <c r="G198" s="8" t="inlineStr">
        <is>
          <t>As expected. Evidence: test/api/dsarQuickRenewal.test.js (10/10 passed)</t>
        </is>
      </c>
      <c r="H198" s="8" t="inlineStr">
        <is>
          <t>Pass</t>
        </is>
      </c>
      <c r="I198" s="8" t="inlineStr">
        <is>
          <t>API</t>
        </is>
      </c>
      <c r="J198" s="8" t="inlineStr">
        <is>
          <t>P1</t>
        </is>
      </c>
      <c r="K198" s="8" t="inlineStr">
        <is>
          <t>api/dsarQuickRenewal</t>
        </is>
      </c>
      <c r="L198" s="8" t="inlineStr">
        <is>
          <t>—</t>
        </is>
      </c>
      <c r="M198" s="8" t="inlineStr">
        <is>
          <t>2026-10-08</t>
        </is>
      </c>
      <c r="N198" s="8" t="inlineStr">
        <is>
          <t>Automated (CI)</t>
        </is>
      </c>
      <c r="O198" s="8" t="inlineStr">
        <is>
          <t>CI (Node 22 / PostgreSQL 16)</t>
        </is>
      </c>
    </row>
    <row r="199">
      <c r="A199" s="8" t="inlineStr">
        <is>
          <t>TC-194</t>
        </is>
      </c>
      <c r="B199" s="8" t="inlineStr">
        <is>
          <t>Data requests and quick renewal</t>
        </is>
      </c>
      <c r="C199" s="8" t="inlineStr">
        <is>
          <t>App download recorded as a request</t>
        </is>
      </c>
      <c r="D199" s="8" t="inlineStr">
        <is>
          <t>Customer downloads their data in the app. compliance filters the register by the customer</t>
        </is>
      </c>
      <c r="E199" s="8" t="inlineStr"/>
      <c r="F199" s="8" t="inlineStr">
        <is>
          <t>Download 200. The register shows a completed access request, channel app, outcome exported, identity verified, made by the customer</t>
        </is>
      </c>
      <c r="G199" s="8" t="inlineStr">
        <is>
          <t>As expected. Evidence: test/api/dsarQuickRenewal.test.js (10/10 passed)</t>
        </is>
      </c>
      <c r="H199" s="8" t="inlineStr">
        <is>
          <t>Pass</t>
        </is>
      </c>
      <c r="I199" s="8" t="inlineStr">
        <is>
          <t>API</t>
        </is>
      </c>
      <c r="J199" s="8" t="inlineStr">
        <is>
          <t>P1</t>
        </is>
      </c>
      <c r="K199" s="8" t="inlineStr">
        <is>
          <t>api/dsarQuickRenewal</t>
        </is>
      </c>
      <c r="L199" s="8" t="inlineStr">
        <is>
          <t>—</t>
        </is>
      </c>
      <c r="M199" s="8" t="inlineStr">
        <is>
          <t>2026-10-08</t>
        </is>
      </c>
      <c r="N199" s="8" t="inlineStr">
        <is>
          <t>Automated (CI)</t>
        </is>
      </c>
      <c r="O199" s="8" t="inlineStr">
        <is>
          <t>CI (Node 22 / PostgreSQL 16)</t>
        </is>
      </c>
    </row>
    <row r="200">
      <c r="A200" s="8" t="inlineStr">
        <is>
          <t>TC-195</t>
        </is>
      </c>
      <c r="B200" s="8" t="inlineStr">
        <is>
          <t>Data requests and quick renewal</t>
        </is>
      </c>
      <c r="C200" s="8" t="inlineStr">
        <is>
          <t>Earlier export and erase endpoints still work</t>
        </is>
      </c>
      <c r="D200" s="8" t="inlineStr">
        <is>
          <t>compliance calls export and erase by customer ID for a customer without a policy</t>
        </is>
      </c>
      <c r="E200" s="8" t="inlineStr"/>
      <c r="F200" s="8" t="inlineStr">
        <is>
          <t>Export 200 with the customer's data; erasure done; audited</t>
        </is>
      </c>
      <c r="G200" s="8" t="inlineStr">
        <is>
          <t>As expected. Evidence: test/api/dsarQuickRenewal.test.js (10/10 passed)</t>
        </is>
      </c>
      <c r="H200" s="8" t="inlineStr">
        <is>
          <t>Pass</t>
        </is>
      </c>
      <c r="I200" s="8" t="inlineStr">
        <is>
          <t>API</t>
        </is>
      </c>
      <c r="J200" s="8" t="inlineStr">
        <is>
          <t>P3</t>
        </is>
      </c>
      <c r="K200" s="8" t="inlineStr">
        <is>
          <t>api/dsarQuickRenewal</t>
        </is>
      </c>
      <c r="L200" s="8" t="inlineStr">
        <is>
          <t>—</t>
        </is>
      </c>
      <c r="M200" s="8" t="inlineStr">
        <is>
          <t>2026-10-08</t>
        </is>
      </c>
      <c r="N200" s="8" t="inlineStr">
        <is>
          <t>Automated (CI)</t>
        </is>
      </c>
      <c r="O200" s="8" t="inlineStr">
        <is>
          <t>CI (Node 22 / PostgreSQL 16)</t>
        </is>
      </c>
    </row>
    <row r="201">
      <c r="A201" s="8" t="inlineStr">
        <is>
          <t>TC-196</t>
        </is>
      </c>
      <c r="B201" s="8" t="inlineStr">
        <is>
          <t>Data requests and quick renewal</t>
        </is>
      </c>
      <c r="C201" s="8" t="inlineStr">
        <is>
          <t>Data requests screen</t>
        </is>
      </c>
      <c r="D201" s="8" t="inlineStr">
        <is>
          <t>compliance opens Governance › "Data requests" ("Yêu cầu dữ liệu cá nhân" in Vietnamese); uses "Log request", "Export data" and "Erase personal data"; another role looks for the screen</t>
        </is>
      </c>
      <c r="E201" s="8" t="inlineStr"/>
      <c r="F201" s="8" t="inlineStr">
        <is>
          <t>Indicators for open requests, "Due within 24 h", "Overdue" and "Completed in 30 days"; timeline per request; "Erase personal data" asks for a reason and the typed plate. Not in the menu for other roles</t>
        </is>
      </c>
      <c r="G201" s="8" t="inlineStr">
        <is>
          <t>Scheduled for manual execution (accessibility / exploratory); no automated evidence in this run.</t>
        </is>
      </c>
      <c r="H201" s="8" t="inlineStr">
        <is>
          <t>Not Run</t>
        </is>
      </c>
      <c r="I201" s="8" t="inlineStr">
        <is>
          <t>UI</t>
        </is>
      </c>
      <c r="J201" s="8" t="inlineStr">
        <is>
          <t>P2</t>
        </is>
      </c>
      <c r="K201" s="8" t="inlineStr">
        <is>
          <t>Manual</t>
        </is>
      </c>
      <c r="L201" s="8" t="inlineStr">
        <is>
          <t>—</t>
        </is>
      </c>
      <c r="M201" s="8" t="inlineStr"/>
      <c r="N201" s="8" t="inlineStr"/>
      <c r="O201" s="8" t="inlineStr"/>
    </row>
    <row r="202">
      <c r="A202" s="8" t="inlineStr">
        <is>
          <t>TC-197</t>
        </is>
      </c>
      <c r="B202" s="8" t="inlineStr">
        <is>
          <t>Data requests and quick renewal</t>
        </is>
      </c>
      <c r="C202" s="8" t="inlineStr">
        <is>
          <t>Quick renewal for an eligible case</t>
        </is>
      </c>
      <c r="D202" s="8" t="inlineStr">
        <is>
          <t>Renewal journey, vehicle confirmed by the customer 30 days ago, VETC wallet covers the premium</t>
        </is>
      </c>
      <c r="E202" s="8" t="inlineStr"/>
      <c r="F202" s="8" t="inlineStr">
        <is>
          <t>Eligible, no reasons; offers TNDS for one year</t>
        </is>
      </c>
      <c r="G202" s="8" t="inlineStr">
        <is>
          <t>As expected. Evidence: test/unit/quickRenewal.test.js (6/6 passed)</t>
        </is>
      </c>
      <c r="H202" s="8" t="inlineStr">
        <is>
          <t>Pass</t>
        </is>
      </c>
      <c r="I202" s="8" t="inlineStr">
        <is>
          <t>Unit</t>
        </is>
      </c>
      <c r="J202" s="8" t="inlineStr">
        <is>
          <t>P1</t>
        </is>
      </c>
      <c r="K202" s="8" t="inlineStr">
        <is>
          <t>unit/quickRenewal</t>
        </is>
      </c>
      <c r="L202" s="8" t="inlineStr">
        <is>
          <t>—</t>
        </is>
      </c>
      <c r="M202" s="8" t="inlineStr">
        <is>
          <t>2026-10-08</t>
        </is>
      </c>
      <c r="N202" s="8" t="inlineStr">
        <is>
          <t>Automated (CI)</t>
        </is>
      </c>
      <c r="O202" s="8" t="inlineStr">
        <is>
          <t>CI (Node 22 / PostgreSQL 16)</t>
        </is>
      </c>
    </row>
    <row r="203">
      <c r="A203" s="8" t="inlineStr">
        <is>
          <t>TC-198</t>
        </is>
      </c>
      <c r="B203" s="8" t="inlineStr">
        <is>
          <t>Data requests and quick renewal</t>
        </is>
      </c>
      <c r="C203" s="8" t="inlineStr">
        <is>
          <t>Each reason for no quick renewal</t>
        </is>
      </c>
      <c r="D203" s="8" t="inlineStr">
        <is>
          <t>Vary one fact at a time: other journey; already renewed; seats unknown or never confirmed; confirmation over 365 days old; physical damage cover; product not sold on the host; TASCO core unavailable; wallet below the premium</t>
        </is>
      </c>
      <c r="E203" s="8" t="inlineStr"/>
      <c r="F203" s="8" t="inlineStr">
        <is>
          <t>Reason returned for each, in Vietnamese with no codes. A TASCO TNDS renewal qualifies on any journey. No wallet check on TASCO hosts or when the premium is unknown</t>
        </is>
      </c>
      <c r="G203" s="8" t="inlineStr">
        <is>
          <t>As expected. Evidence: test/unit/quickRenewal.test.js (6/6 passed)</t>
        </is>
      </c>
      <c r="H203" s="8" t="inlineStr">
        <is>
          <t>Pass</t>
        </is>
      </c>
      <c r="I203" s="8" t="inlineStr">
        <is>
          <t>Unit</t>
        </is>
      </c>
      <c r="J203" s="8" t="inlineStr">
        <is>
          <t>P1</t>
        </is>
      </c>
      <c r="K203" s="8" t="inlineStr">
        <is>
          <t>unit/quickRenewal</t>
        </is>
      </c>
      <c r="L203" s="8" t="inlineStr">
        <is>
          <t>—</t>
        </is>
      </c>
      <c r="M203" s="8" t="inlineStr">
        <is>
          <t>2026-10-08</t>
        </is>
      </c>
      <c r="N203" s="8" t="inlineStr">
        <is>
          <t>Automated (CI)</t>
        </is>
      </c>
      <c r="O203" s="8" t="inlineStr">
        <is>
          <t>CI (Node 22 / PostgreSQL 16)</t>
        </is>
      </c>
    </row>
    <row r="204">
      <c r="A204" s="8" t="inlineStr">
        <is>
          <t>TC-199</t>
        </is>
      </c>
      <c r="B204" s="8" t="inlineStr">
        <is>
          <t>Data requests and quick renewal</t>
        </is>
      </c>
      <c r="C204" s="8" t="inlineStr">
        <is>
          <t>Vehicle evidence and cover carried over</t>
        </is>
      </c>
      <c r="D204" s="8" t="inlineStr">
        <is>
          <t>Vehicle known from TASCO core with no date; current TASCO TNDS and personal accident cover per seat, two-year term</t>
        </is>
      </c>
      <c r="E204" s="8" t="inlineStr"/>
      <c r="F204" s="8" t="inlineStr">
        <is>
          <t>TASCO core evidence has no age limit. Add-ons left out while allowAddOns is false, included when true. Term carried over; wallet checked for the whole term</t>
        </is>
      </c>
      <c r="G204" s="8" t="inlineStr">
        <is>
          <t>As expected. Evidence: test/unit/quickRenewal.test.js (6/6 passed)</t>
        </is>
      </c>
      <c r="H204" s="8" t="inlineStr">
        <is>
          <t>Pass</t>
        </is>
      </c>
      <c r="I204" s="8" t="inlineStr">
        <is>
          <t>Unit</t>
        </is>
      </c>
      <c r="J204" s="8" t="inlineStr">
        <is>
          <t>P2</t>
        </is>
      </c>
      <c r="K204" s="8" t="inlineStr">
        <is>
          <t>unit/quickRenewal</t>
        </is>
      </c>
      <c r="L204" s="8" t="inlineStr">
        <is>
          <t>—</t>
        </is>
      </c>
      <c r="M204" s="8" t="inlineStr">
        <is>
          <t>2026-10-08</t>
        </is>
      </c>
      <c r="N204" s="8" t="inlineStr">
        <is>
          <t>Automated (CI)</t>
        </is>
      </c>
      <c r="O204" s="8" t="inlineStr">
        <is>
          <t>CI (Node 22 / PostgreSQL 16)</t>
        </is>
      </c>
    </row>
    <row r="205">
      <c r="A205" s="8" t="inlineStr">
        <is>
          <t>TC-200</t>
        </is>
      </c>
      <c r="B205" s="8" t="inlineStr">
        <is>
          <t>Data requests and quick renewal</t>
        </is>
      </c>
      <c r="C205" s="8" t="inlineStr">
        <is>
          <t>Service-level rule set checks</t>
        </is>
      </c>
      <c r="D205" s="8" t="inlineStr">
        <is>
          <t>Validate the shipped rule set; then invalid response hours, quick-renewal block and settings; then an older version without the new fields</t>
        </is>
      </c>
      <c r="E205" s="8" t="inlineStr"/>
      <c r="F205" s="8" t="inlineStr">
        <is>
          <t>Shipped set valid, 72 hours, quick renewal on for renewals. Each invalid value refused. Older version valid, with quick renewal off</t>
        </is>
      </c>
      <c r="G205" s="8" t="inlineStr">
        <is>
          <t>As expected. Evidence: test/unit/quickRenewal.test.js (6/6 passed)</t>
        </is>
      </c>
      <c r="H205" s="8" t="inlineStr">
        <is>
          <t>Pass</t>
        </is>
      </c>
      <c r="I205" s="8" t="inlineStr">
        <is>
          <t>Unit</t>
        </is>
      </c>
      <c r="J205" s="8" t="inlineStr">
        <is>
          <t>P2</t>
        </is>
      </c>
      <c r="K205" s="8" t="inlineStr">
        <is>
          <t>unit/quickRenewal</t>
        </is>
      </c>
      <c r="L205" s="8" t="inlineStr">
        <is>
          <t>—</t>
        </is>
      </c>
      <c r="M205" s="8" t="inlineStr">
        <is>
          <t>2026-10-08</t>
        </is>
      </c>
      <c r="N205" s="8" t="inlineStr">
        <is>
          <t>Automated (CI)</t>
        </is>
      </c>
      <c r="O205" s="8" t="inlineStr">
        <is>
          <t>CI (Node 22 / PostgreSQL 16)</t>
        </is>
      </c>
    </row>
    <row r="206">
      <c r="A206" s="8" t="inlineStr">
        <is>
          <t>TC-201</t>
        </is>
      </c>
      <c r="B206" s="8" t="inlineStr">
        <is>
          <t>Data requests and quick renewal</t>
        </is>
      </c>
      <c r="C206" s="8" t="inlineStr">
        <is>
          <t>Quick renewal switched off</t>
        </is>
      </c>
      <c r="D206" s="8" t="inlineStr">
        <is>
          <t>Eligible customer in the TASCO app. Author drafts the service-level rule with quick renewal off; approver approves; customer opens home and asks for a quick quote</t>
        </is>
      </c>
      <c r="E206" s="8" t="inlineStr"/>
      <c r="F206" s="8" t="inlineStr">
        <is>
          <t>Before: eligible. After approval: not eligible, reason disabled; quick quote 422</t>
        </is>
      </c>
      <c r="G206" s="8" t="inlineStr">
        <is>
          <t>As expected. Evidence: test/api/dsarQuickRenewal.test.js (10/10 passed); test/unit/quickRenewal.test.js (6/6 passed)</t>
        </is>
      </c>
      <c r="H206" s="8" t="inlineStr">
        <is>
          <t>Pass</t>
        </is>
      </c>
      <c r="I206" s="8" t="inlineStr">
        <is>
          <t>API</t>
        </is>
      </c>
      <c r="J206" s="8" t="inlineStr">
        <is>
          <t>P1</t>
        </is>
      </c>
      <c r="K206" s="8" t="inlineStr">
        <is>
          <t>api/dsarQuickRenewal, unit/quickRenewal</t>
        </is>
      </c>
      <c r="L206" s="8" t="inlineStr">
        <is>
          <t>—</t>
        </is>
      </c>
      <c r="M206" s="8" t="inlineStr">
        <is>
          <t>2026-10-08</t>
        </is>
      </c>
      <c r="N206" s="8" t="inlineStr">
        <is>
          <t>Automated (CI)</t>
        </is>
      </c>
      <c r="O206" s="8" t="inlineStr">
        <is>
          <t>CI (Node 22 / PostgreSQL 16)</t>
        </is>
      </c>
    </row>
    <row r="207">
      <c r="A207" s="8" t="inlineStr">
        <is>
          <t>TC-202</t>
        </is>
      </c>
      <c r="B207" s="8" t="inlineStr">
        <is>
          <t>Data requests and quick renewal</t>
        </is>
      </c>
      <c r="C207" s="8" t="inlineStr">
        <is>
          <t>Home shows eligibility after vehicle confirmation</t>
        </is>
      </c>
      <c r="D207" s="8" t="inlineStr">
        <is>
          <t>Renewal customer with an unconfirmed vehicle in the VETC app. Open home; ask for a quick quote; confirm use and seats; open home</t>
        </is>
      </c>
      <c r="E207" s="8" t="inlineStr"/>
      <c r="F207" s="8" t="inlineStr">
        <is>
          <t>First: not eligible, "Cần xác nhận thông tin xe"; quick quote 422; other home fields unchanged. After confirmation: eligible, TNDS for one year</t>
        </is>
      </c>
      <c r="G207" s="8" t="inlineStr">
        <is>
          <t>As expected. Evidence: test/api/dsarQuickRenewal.test.js (10/10 passed)</t>
        </is>
      </c>
      <c r="H207" s="8" t="inlineStr">
        <is>
          <t>Pass</t>
        </is>
      </c>
      <c r="I207" s="8" t="inlineStr">
        <is>
          <t>API</t>
        </is>
      </c>
      <c r="J207" s="8" t="inlineStr">
        <is>
          <t>P1</t>
        </is>
      </c>
      <c r="K207" s="8" t="inlineStr">
        <is>
          <t>api/dsarQuickRenewal</t>
        </is>
      </c>
      <c r="L207" s="8" t="inlineStr">
        <is>
          <t>—</t>
        </is>
      </c>
      <c r="M207" s="8" t="inlineStr">
        <is>
          <t>2026-10-08</t>
        </is>
      </c>
      <c r="N207" s="8" t="inlineStr">
        <is>
          <t>Automated (CI)</t>
        </is>
      </c>
      <c r="O207" s="8" t="inlineStr">
        <is>
          <t>CI (Node 22 / PostgreSQL 16)</t>
        </is>
      </c>
    </row>
    <row r="208">
      <c r="A208" s="8" t="inlineStr">
        <is>
          <t>TC-203</t>
        </is>
      </c>
      <c r="B208" s="8" t="inlineStr">
        <is>
          <t>Data requests and quick renewal</t>
        </is>
      </c>
      <c r="C208" s="8" t="inlineStr">
        <is>
          <t>Quick renewal in 3 steps</t>
        </is>
      </c>
      <c r="D208" s="8" t="inlineStr">
        <is>
          <t>After TC-202. Open quick renewal (the client also asks for physical damage cover); tick the declaration; pay with an Idempotency-Key; retry the same key</t>
        </is>
      </c>
      <c r="E208" s="8" t="inlineStr"/>
      <c r="F208" s="8" t="inlineStr">
        <is>
          <t>Server quotes TNDS only, priced by core, journey renewal. Order completed with flow quick and one TNDS policy. Retry replays, no second debit. Home then shows already renewed</t>
        </is>
      </c>
      <c r="G208" s="8" t="inlineStr">
        <is>
          <t>As expected. Evidence: test/api/dsarQuickRenewal.test.js (10/10 passed)</t>
        </is>
      </c>
      <c r="H208" s="8" t="inlineStr">
        <is>
          <t>Pass</t>
        </is>
      </c>
      <c r="I208" s="8" t="inlineStr">
        <is>
          <t>API</t>
        </is>
      </c>
      <c r="J208" s="8" t="inlineStr">
        <is>
          <t>P1</t>
        </is>
      </c>
      <c r="K208" s="8" t="inlineStr">
        <is>
          <t>api/dsarQuickRenewal</t>
        </is>
      </c>
      <c r="L208" s="8" t="inlineStr">
        <is>
          <t>—</t>
        </is>
      </c>
      <c r="M208" s="8" t="inlineStr">
        <is>
          <t>2026-10-08</t>
        </is>
      </c>
      <c r="N208" s="8" t="inlineStr">
        <is>
          <t>Automated (CI)</t>
        </is>
      </c>
      <c r="O208" s="8" t="inlineStr">
        <is>
          <t>CI (Node 22 / PostgreSQL 16)</t>
        </is>
      </c>
    </row>
    <row r="209">
      <c r="A209" s="8" t="inlineStr">
        <is>
          <t>TC-204</t>
        </is>
      </c>
      <c r="B209" s="8" t="inlineStr">
        <is>
          <t>Data requests and quick renewal</t>
        </is>
      </c>
      <c r="C209" s="8" t="inlineStr">
        <is>
          <t>Customer app offers both paths</t>
        </is>
      </c>
      <c r="D209" s="8" t="inlineStr">
        <is>
          <t>Read the customer app screens for home and quick renewal</t>
        </is>
      </c>
      <c r="E209" s="8" t="inlineStr"/>
      <c r="F209" s="8" t="inlineStr">
        <is>
          <t>Home: "Gia hạn nhanh" first and "Tùy chỉnh gói bảo hiểm" for the full flow. Quick screen: one declaration tick, one "Xác nhận thanh toán", no extra confirmation sheet. No co-branding; "Ví VETC" kept as the payment method</t>
        </is>
      </c>
      <c r="G209" s="8" t="inlineStr">
        <is>
          <t>As expected. Evidence: test/api/dsarQuickRenewal.test.js (10/10 passed)</t>
        </is>
      </c>
      <c r="H209" s="8" t="inlineStr">
        <is>
          <t>Pass</t>
        </is>
      </c>
      <c r="I209" s="8" t="inlineStr">
        <is>
          <t>API</t>
        </is>
      </c>
      <c r="J209" s="8" t="inlineStr">
        <is>
          <t>P2</t>
        </is>
      </c>
      <c r="K209" s="8" t="inlineStr">
        <is>
          <t>api/dsarQuickRenewal</t>
        </is>
      </c>
      <c r="L209" s="8" t="inlineStr">
        <is>
          <t>—</t>
        </is>
      </c>
      <c r="M209" s="8" t="inlineStr">
        <is>
          <t>2026-10-08</t>
        </is>
      </c>
      <c r="N209" s="8" t="inlineStr">
        <is>
          <t>Automated (CI)</t>
        </is>
      </c>
      <c r="O209" s="8" t="inlineStr">
        <is>
          <t>CI (Node 22 / PostgreSQL 16)</t>
        </is>
      </c>
    </row>
    <row r="210">
      <c r="A210" s="8" t="inlineStr">
        <is>
          <t>TC-205</t>
        </is>
      </c>
      <c r="B210" s="8" t="inlineStr">
        <is>
          <t>Data requests and quick renewal</t>
        </is>
      </c>
      <c r="C210" s="8" t="inlineStr">
        <is>
          <t>Full flow still available</t>
        </is>
      </c>
      <c r="D210" s="8" t="inlineStr">
        <is>
          <t>Eligible and not eligible customers. Choose "Tùy chỉnh gói bảo hiểm"; go through "Gia hạn ngay", "Xem phí bảo hiểm", "Tiếp tục", declaration, "Thanh toán", "Xác nhận thanh toán"</t>
        </is>
      </c>
      <c r="E210" s="8" t="inlineStr"/>
      <c r="F210" s="8" t="inlineStr">
        <is>
          <t>Full flow in 6 steps for both; add-on covers can be chosen; a standard quote still needs products (400 without)</t>
        </is>
      </c>
      <c r="G210" s="8" t="inlineStr">
        <is>
          <t>As expected. Evidence: test/api/dsarQuickRenewal.test.js (10/10 passed)</t>
        </is>
      </c>
      <c r="H210" s="8" t="inlineStr">
        <is>
          <t>Pass</t>
        </is>
      </c>
      <c r="I210" s="8" t="inlineStr">
        <is>
          <t>UI</t>
        </is>
      </c>
      <c r="J210" s="8" t="inlineStr">
        <is>
          <t>P1</t>
        </is>
      </c>
      <c r="K210" s="8" t="inlineStr">
        <is>
          <t>Manual; api/dsarQuickRenewal (standard quote)</t>
        </is>
      </c>
      <c r="L210" s="8" t="inlineStr">
        <is>
          <t>—</t>
        </is>
      </c>
      <c r="M210" s="8" t="inlineStr">
        <is>
          <t>2026-10-08</t>
        </is>
      </c>
      <c r="N210" s="8" t="inlineStr">
        <is>
          <t>Automated (CI)</t>
        </is>
      </c>
      <c r="O210" s="8" t="inlineStr">
        <is>
          <t>CI (Node 22 / PostgreSQL 16)</t>
        </is>
      </c>
    </row>
  </sheetData>
  <autoFilter ref="A4:O210"/>
  <conditionalFormatting sqref="H5:H2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onditionalFormatting>
  <dataValidations count="1">
    <dataValidation sqref="H5:H210" showDropDown="0" showInputMessage="0" showErrorMessage="0" allowBlank="0" type="list">
      <formula1>"Pass,Fail,Blocked,Not Run"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82"/>
  <sheetViews>
    <sheetView showGridLines="0" workbookViewId="0">
      <pane ySplit="3" topLeftCell="A4" activePane="bottomLeft" state="frozen"/>
      <selection pane="bottomLeft" activeCell="A1" sqref="A1"/>
    </sheetView>
  </sheetViews>
  <sheetFormatPr baseColWidth="8" defaultRowHeight="15"/>
  <cols>
    <col width="34" customWidth="1" min="1" max="1"/>
    <col width="12" customWidth="1" min="2" max="2"/>
    <col width="5" customWidth="1" min="3" max="3"/>
    <col width="80" customWidth="1" min="4" max="4"/>
    <col width="9" customWidth="1" min="5" max="5"/>
    <col width="13" customWidth="1" min="6" max="6"/>
    <col width="11" customWidth="1" min="7" max="7"/>
  </cols>
  <sheetData>
    <row r="1">
      <c r="A1" s="1" t="inlineStr">
        <is>
          <t>Automated test execution — individual results</t>
        </is>
      </c>
    </row>
    <row r="3">
      <c r="A3" s="9" t="inlineStr">
        <is>
          <t>Suite file</t>
        </is>
      </c>
      <c r="B3" s="9" t="inlineStr">
        <is>
          <t>Layer</t>
        </is>
      </c>
      <c r="C3" s="9" t="inlineStr">
        <is>
          <t>#</t>
        </is>
      </c>
      <c r="D3" s="9" t="inlineStr">
        <is>
          <t>Test scenario (as named in code)</t>
        </is>
      </c>
      <c r="E3" s="9" t="inlineStr">
        <is>
          <t>Result</t>
        </is>
      </c>
      <c r="F3" s="9" t="inlineStr">
        <is>
          <t>Duration (ms)</t>
        </is>
      </c>
      <c r="G3" s="9" t="inlineStr">
        <is>
          <t>Run date</t>
        </is>
      </c>
    </row>
    <row r="4">
      <c r="A4" s="8" t="inlineStr">
        <is>
          <t>test/api/api.test.js</t>
        </is>
      </c>
      <c r="B4" s="8" t="inlineStr">
        <is>
          <t>API</t>
        </is>
      </c>
      <c r="C4" s="8" t="n">
        <v>1</v>
      </c>
      <c r="D4" s="8" t="inlineStr">
        <is>
          <t>health, readiness, metrics, OpenAPI and static assets</t>
        </is>
      </c>
      <c r="E4" s="8" t="inlineStr">
        <is>
          <t>Pass</t>
        </is>
      </c>
      <c r="F4" s="8" t="n">
        <v>1138.1</v>
      </c>
      <c r="G4" s="8" t="inlineStr">
        <is>
          <t>2026-10-08</t>
        </is>
      </c>
    </row>
    <row r="5">
      <c r="A5" s="8" t="inlineStr">
        <is>
          <t>test/api/api.test.js</t>
        </is>
      </c>
      <c r="B5" s="8" t="inlineStr">
        <is>
          <t>API</t>
        </is>
      </c>
      <c r="C5" s="8" t="n">
        <v>2</v>
      </c>
      <c r="D5" s="8" t="inlineStr">
        <is>
          <t>authentication and authorisation (401/403) and error envelope</t>
        </is>
      </c>
      <c r="E5" s="8" t="inlineStr">
        <is>
          <t>Pass</t>
        </is>
      </c>
      <c r="F5" s="8" t="n">
        <v>77.7</v>
      </c>
      <c r="G5" s="8" t="inlineStr">
        <is>
          <t>2026-10-08</t>
        </is>
      </c>
    </row>
    <row r="6">
      <c r="A6" s="8" t="inlineStr">
        <is>
          <t>test/api/api.test.js</t>
        </is>
      </c>
      <c r="B6" s="8" t="inlineStr">
        <is>
          <t>API</t>
        </is>
      </c>
      <c r="C6" s="8" t="n">
        <v>3</v>
      </c>
      <c r="D6" s="8" t="inlineStr">
        <is>
          <t>MFA login over HTTP and demo TOTP helper</t>
        </is>
      </c>
      <c r="E6" s="8" t="inlineStr">
        <is>
          <t>Pass</t>
        </is>
      </c>
      <c r="F6" s="8" t="n">
        <v>54.7</v>
      </c>
      <c r="G6" s="8" t="inlineStr">
        <is>
          <t>2026-10-08</t>
        </is>
      </c>
    </row>
    <row r="7">
      <c r="A7" s="8" t="inlineStr">
        <is>
          <t>test/api/api.test.js</t>
        </is>
      </c>
      <c r="B7" s="8" t="inlineStr">
        <is>
          <t>API</t>
        </is>
      </c>
      <c r="C7" s="8" t="n">
        <v>4</v>
      </c>
      <c r="D7" s="8" t="inlineStr">
        <is>
          <t>campaign manager journey: dashboard, leads, customer 360 (masked), journeys, events, voice campaign</t>
        </is>
      </c>
      <c r="E7" s="8" t="inlineStr">
        <is>
          <t>Pass</t>
        </is>
      </c>
      <c r="F7" s="8" t="n">
        <v>247.2</v>
      </c>
      <c r="G7" s="8" t="inlineStr">
        <is>
          <t>2026-10-08</t>
        </is>
      </c>
    </row>
    <row r="8">
      <c r="A8" s="8" t="inlineStr">
        <is>
          <t>test/api/api.test.js</t>
        </is>
      </c>
      <c r="B8" s="8" t="inlineStr">
        <is>
          <t>API</t>
        </is>
      </c>
      <c r="C8" s="8" t="n">
        <v>5</v>
      </c>
      <c r="D8" s="8" t="inlineStr">
        <is>
          <t>telesales agent: voice console → handoff → claim → quote → issue (idempotent)</t>
        </is>
      </c>
      <c r="E8" s="8" t="inlineStr">
        <is>
          <t>Pass</t>
        </is>
      </c>
      <c r="F8" s="8" t="n">
        <v>162.6</v>
      </c>
      <c r="G8" s="8" t="inlineStr">
        <is>
          <t>2026-10-08</t>
        </is>
      </c>
    </row>
    <row r="9">
      <c r="A9" s="8" t="inlineStr">
        <is>
          <t>test/api/api.test.js</t>
        </is>
      </c>
      <c r="B9" s="8" t="inlineStr">
        <is>
          <t>API</t>
        </is>
      </c>
      <c r="C9" s="8" t="n">
        <v>6</v>
      </c>
      <c r="D9" s="8" t="inlineStr">
        <is>
          <t>rule author + approver maker-checker over HTTP, with simulation</t>
        </is>
      </c>
      <c r="E9" s="8" t="inlineStr">
        <is>
          <t>Pass</t>
        </is>
      </c>
      <c r="F9" s="8" t="n">
        <v>132.6</v>
      </c>
      <c r="G9" s="8" t="inlineStr">
        <is>
          <t>2026-10-08</t>
        </is>
      </c>
    </row>
    <row r="10">
      <c r="A10" s="8" t="inlineStr">
        <is>
          <t>test/api/api.test.js</t>
        </is>
      </c>
      <c r="B10" s="8" t="inlineStr">
        <is>
          <t>API</t>
        </is>
      </c>
      <c r="C10" s="8" t="n">
        <v>7</v>
      </c>
      <c r="D10" s="8" t="inlineStr">
        <is>
          <t>partner API: API key auth, new-vehicle onboarding, bind, own policies, statement, IDOR protection</t>
        </is>
      </c>
      <c r="E10" s="8" t="inlineStr">
        <is>
          <t>Pass</t>
        </is>
      </c>
      <c r="F10" s="8" t="n">
        <v>88.09999999999999</v>
      </c>
      <c r="G10" s="8" t="inlineStr">
        <is>
          <t>2026-10-08</t>
        </is>
      </c>
    </row>
    <row r="11">
      <c r="A11" s="8" t="inlineStr">
        <is>
          <t>test/api/api.test.js</t>
        </is>
      </c>
      <c r="B11" s="8" t="inlineStr">
        <is>
          <t>API</t>
        </is>
      </c>
      <c r="C11" s="8" t="n">
        <v>8</v>
      </c>
      <c r="D11" s="8" t="inlineStr">
        <is>
          <t>customer journeys are reused across hosts: channel on the session drives attribution and the payment gateway</t>
        </is>
      </c>
      <c r="E11" s="8" t="inlineStr">
        <is>
          <t>Pass</t>
        </is>
      </c>
      <c r="F11" s="8" t="n">
        <v>23.5</v>
      </c>
      <c r="G11" s="8" t="inlineStr">
        <is>
          <t>2026-10-08</t>
        </is>
      </c>
    </row>
    <row r="12">
      <c r="A12" s="8" t="inlineStr">
        <is>
          <t>test/api/api.test.js</t>
        </is>
      </c>
      <c r="B12" s="8" t="inlineStr">
        <is>
          <t>API</t>
        </is>
      </c>
      <c r="C12" s="8" t="n">
        <v>9</v>
      </c>
      <c r="D12" s="8" t="inlineStr">
        <is>
          <t>customer app: confirming business use and seats re-categorises the vehicle and the TNDS price follows</t>
        </is>
      </c>
      <c r="E12" s="8" t="inlineStr">
        <is>
          <t>Pass</t>
        </is>
      </c>
      <c r="F12" s="8" t="n">
        <v>20.2</v>
      </c>
      <c r="G12" s="8" t="inlineStr">
        <is>
          <t>2026-10-08</t>
        </is>
      </c>
    </row>
    <row r="13">
      <c r="A13" s="8" t="inlineStr">
        <is>
          <t>test/api/api.test.js</t>
        </is>
      </c>
      <c r="B13" s="8" t="inlineStr">
        <is>
          <t>API</t>
        </is>
      </c>
      <c r="C13" s="8" t="n">
        <v>10</v>
      </c>
      <c r="D13" s="8" t="inlineStr">
        <is>
          <t>customer app: signed-link session, home, declare expiry, quote, pay, consent, claim, export; IDOR blocked</t>
        </is>
      </c>
      <c r="E13" s="8" t="inlineStr">
        <is>
          <t>Pass</t>
        </is>
      </c>
      <c r="F13" s="8" t="n">
        <v>109</v>
      </c>
      <c r="G13" s="8" t="inlineStr">
        <is>
          <t>2026-10-08</t>
        </is>
      </c>
    </row>
    <row r="14">
      <c r="A14" s="8" t="inlineStr">
        <is>
          <t>test/api/api.test.js</t>
        </is>
      </c>
      <c r="B14" s="8" t="inlineStr">
        <is>
          <t>API</t>
        </is>
      </c>
      <c r="C14" s="8" t="n">
        <v>11</v>
      </c>
      <c r="D14" s="8" t="inlineStr">
        <is>
          <t>data steward, compliance (DSAR), auditor, admin and support endpoints</t>
        </is>
      </c>
      <c r="E14" s="8" t="inlineStr">
        <is>
          <t>Pass</t>
        </is>
      </c>
      <c r="F14" s="8" t="n">
        <v>474.6</v>
      </c>
      <c r="G14" s="8" t="inlineStr">
        <is>
          <t>2026-10-08</t>
        </is>
      </c>
    </row>
    <row r="15">
      <c r="A15" s="8" t="inlineStr">
        <is>
          <t>test/api/api.test.js</t>
        </is>
      </c>
      <c r="B15" s="8" t="inlineStr">
        <is>
          <t>API</t>
        </is>
      </c>
      <c r="C15" s="8" t="n">
        <v>12</v>
      </c>
      <c r="D15" s="8" t="inlineStr">
        <is>
          <t>console shell: /api/auth/me display name and global customer search (plate prefix, phone, ABAC, masking)</t>
        </is>
      </c>
      <c r="E15" s="8" t="inlineStr">
        <is>
          <t>Pass</t>
        </is>
      </c>
      <c r="F15" s="8" t="n">
        <v>169.6</v>
      </c>
      <c r="G15" s="8" t="inlineStr">
        <is>
          <t>2026-10-08</t>
        </is>
      </c>
    </row>
    <row r="16">
      <c r="A16" s="8" t="inlineStr">
        <is>
          <t>test/api/consoleWorkflows.test.js</t>
        </is>
      </c>
      <c r="B16" s="8" t="inlineStr">
        <is>
          <t>API</t>
        </is>
      </c>
      <c r="C16" s="8" t="n">
        <v>1</v>
      </c>
      <c r="D16" s="8" t="inlineStr">
        <is>
          <t>claims: decision data, notes, SLA and enriched detail</t>
        </is>
      </c>
      <c r="E16" s="8" t="inlineStr">
        <is>
          <t>Pass</t>
        </is>
      </c>
      <c r="F16" s="8" t="n">
        <v>1266.7</v>
      </c>
      <c r="G16" s="8" t="inlineStr">
        <is>
          <t>2026-10-08</t>
        </is>
      </c>
    </row>
    <row r="17">
      <c r="A17" s="8" t="inlineStr">
        <is>
          <t>test/api/consoleWorkflows.test.js</t>
        </is>
      </c>
      <c r="B17" s="8" t="inlineStr">
        <is>
          <t>API</t>
        </is>
      </c>
      <c r="C17" s="8" t="n">
        <v>2</v>
      </c>
      <c r="D17" s="8" t="inlineStr">
        <is>
          <t>data quality: business origin instead of batch ids, detail, assignees, bulk and outcomes</t>
        </is>
      </c>
      <c r="E17" s="8" t="inlineStr">
        <is>
          <t>Pass</t>
        </is>
      </c>
      <c r="F17" s="8" t="n">
        <v>131.3</v>
      </c>
      <c r="G17" s="8" t="inlineStr">
        <is>
          <t>2026-10-08</t>
        </is>
      </c>
    </row>
    <row r="18">
      <c r="A18" s="8" t="inlineStr">
        <is>
          <t>test/api/consoleWorkflows.test.js</t>
        </is>
      </c>
      <c r="B18" s="8" t="inlineStr">
        <is>
          <t>API</t>
        </is>
      </c>
      <c r="C18" s="8" t="n">
        <v>3</v>
      </c>
      <c r="D18" s="8" t="inlineStr">
        <is>
          <t>data quality: partner-sourced issues name the partner, voice issues name the call</t>
        </is>
      </c>
      <c r="E18" s="8" t="inlineStr">
        <is>
          <t>Pass</t>
        </is>
      </c>
      <c r="F18" s="8" t="n">
        <v>0.4</v>
      </c>
      <c r="G18" s="8" t="inlineStr">
        <is>
          <t>2026-10-08</t>
        </is>
      </c>
    </row>
    <row r="19">
      <c r="A19" s="8" t="inlineStr">
        <is>
          <t>test/api/consoleWorkflows.test.js</t>
        </is>
      </c>
      <c r="B19" s="8" t="inlineStr">
        <is>
          <t>API</t>
        </is>
      </c>
      <c r="C19" s="8" t="n">
        <v>4</v>
      </c>
      <c r="D19" s="8" t="inlineStr">
        <is>
          <t>partners: month stats, scoped expiring keys, key listing without secrets</t>
        </is>
      </c>
      <c r="E19" s="8" t="inlineStr">
        <is>
          <t>Pass</t>
        </is>
      </c>
      <c r="F19" s="8" t="n">
        <v>61</v>
      </c>
      <c r="G19" s="8" t="inlineStr">
        <is>
          <t>2026-10-08</t>
        </is>
      </c>
    </row>
    <row r="20">
      <c r="A20" s="8" t="inlineStr">
        <is>
          <t>test/api/consoleWorkflows.test.js</t>
        </is>
      </c>
      <c r="B20" s="8" t="inlineStr">
        <is>
          <t>API</t>
        </is>
      </c>
      <c r="C20" s="8" t="n">
        <v>5</v>
      </c>
      <c r="D20" s="8" t="inlineStr">
        <is>
          <t>users: lock and MFA state, temporary password reset</t>
        </is>
      </c>
      <c r="E20" s="8" t="inlineStr">
        <is>
          <t>Pass</t>
        </is>
      </c>
      <c r="F20" s="8" t="n">
        <v>208.9</v>
      </c>
      <c r="G20" s="8" t="inlineStr">
        <is>
          <t>2026-10-08</t>
        </is>
      </c>
    </row>
    <row r="21">
      <c r="A21" s="8" t="inlineStr">
        <is>
          <t>test/api/consoleWorkflows.test.js</t>
        </is>
      </c>
      <c r="B21" s="8" t="inlineStr">
        <is>
          <t>API</t>
        </is>
      </c>
      <c r="C21" s="8" t="n">
        <v>6</v>
      </c>
      <c r="D21" s="8" t="inlineStr">
        <is>
          <t>operations: integration health fields and job schedule</t>
        </is>
      </c>
      <c r="E21" s="8" t="inlineStr">
        <is>
          <t>Pass</t>
        </is>
      </c>
      <c r="F21" s="8" t="n">
        <v>54.5</v>
      </c>
      <c r="G21" s="8" t="inlineStr">
        <is>
          <t>2026-10-08</t>
        </is>
      </c>
    </row>
    <row r="22">
      <c r="A22" s="8" t="inlineStr">
        <is>
          <t>test/api/consoleWorkflows.test.js</t>
        </is>
      </c>
      <c r="B22" s="8" t="inlineStr">
        <is>
          <t>API</t>
        </is>
      </c>
      <c r="C22" s="8" t="n">
        <v>7</v>
      </c>
      <c r="D22" s="8" t="inlineStr">
        <is>
          <t>UX review: customer app reads support contacts and vehicle details it pre-fills; copy says "voice assistant" and dates are dd/MM/yyyy</t>
        </is>
      </c>
      <c r="E22" s="8" t="inlineStr">
        <is>
          <t>Pass</t>
        </is>
      </c>
      <c r="F22" s="8" t="n">
        <v>23.7</v>
      </c>
      <c r="G22" s="8" t="inlineStr">
        <is>
          <t>2026-10-08</t>
        </is>
      </c>
    </row>
    <row r="23">
      <c r="A23" s="8" t="inlineStr">
        <is>
          <t>test/api/dsarQuickRenewal.test.js</t>
        </is>
      </c>
      <c r="B23" s="8" t="inlineStr">
        <is>
          <t>API</t>
        </is>
      </c>
      <c r="C23" s="8" t="n">
        <v>1</v>
      </c>
      <c r="D23" s="8" t="inlineStr">
        <is>
          <t>data requests: only compliance (dsar:manage) — 401 without a token, 403 for other roles</t>
        </is>
      </c>
      <c r="E23" s="8" t="inlineStr">
        <is>
          <t>Pass</t>
        </is>
      </c>
      <c r="F23" s="8" t="n">
        <v>1537.2</v>
      </c>
      <c r="G23" s="8" t="inlineStr">
        <is>
          <t>2026-10-08</t>
        </is>
      </c>
    </row>
    <row r="24">
      <c r="A24" s="8" t="inlineStr">
        <is>
          <t>test/api/dsarQuickRenewal.test.js</t>
        </is>
      </c>
      <c r="B24" s="8" t="inlineStr">
        <is>
          <t>API</t>
        </is>
      </c>
      <c r="C24" s="8" t="n">
        <v>2</v>
      </c>
      <c r="D24" s="8" t="inlineStr">
        <is>
          <t>data requests: log by plate, due date from service levels, masked list, detail with counts only, audited</t>
        </is>
      </c>
      <c r="E24" s="8" t="inlineStr">
        <is>
          <t>Pass</t>
        </is>
      </c>
      <c r="F24" s="8" t="n">
        <v>32.4</v>
      </c>
      <c r="G24" s="8" t="inlineStr">
        <is>
          <t>2026-10-08</t>
        </is>
      </c>
    </row>
    <row r="25">
      <c r="A25" s="8" t="inlineStr">
        <is>
          <t>test/api/dsarQuickRenewal.test.js</t>
        </is>
      </c>
      <c r="B25" s="8" t="inlineStr">
        <is>
          <t>API</t>
        </is>
      </c>
      <c r="C25" s="8" t="n">
        <v>3</v>
      </c>
      <c r="D25" s="8" t="inlineStr">
        <is>
          <t>data requests: validation of the customer, type, channel and received date</t>
        </is>
      </c>
      <c r="E25" s="8" t="inlineStr">
        <is>
          <t>Pass</t>
        </is>
      </c>
      <c r="F25" s="8" t="n">
        <v>30</v>
      </c>
      <c r="G25" s="8" t="inlineStr">
        <is>
          <t>2026-10-08</t>
        </is>
      </c>
    </row>
    <row r="26">
      <c r="A26" s="8" t="inlineStr">
        <is>
          <t>test/api/dsarQuickRenewal.test.js</t>
        </is>
      </c>
      <c r="B26" s="8" t="inlineStr">
        <is>
          <t>API</t>
        </is>
      </c>
      <c r="C26" s="8" t="n">
        <v>4</v>
      </c>
      <c r="D26" s="8" t="inlineStr">
        <is>
          <t>data requests: start, export (identity required), then completed and closed</t>
        </is>
      </c>
      <c r="E26" s="8" t="inlineStr">
        <is>
          <t>Pass</t>
        </is>
      </c>
      <c r="F26" s="8" t="n">
        <v>53.3</v>
      </c>
      <c r="G26" s="8" t="inlineStr">
        <is>
          <t>2026-10-08</t>
        </is>
      </c>
    </row>
    <row r="27">
      <c r="A27" s="8" t="inlineStr">
        <is>
          <t>test/api/dsarQuickRenewal.test.js</t>
        </is>
      </c>
      <c r="B27" s="8" t="inlineStr">
        <is>
          <t>API</t>
        </is>
      </c>
      <c r="C27" s="8" t="n">
        <v>5</v>
      </c>
      <c r="D27" s="8" t="inlineStr">
        <is>
          <t>data requests: erasure needs a reason and the plate; refused in business language while a policy is in force</t>
        </is>
      </c>
      <c r="E27" s="8" t="inlineStr">
        <is>
          <t>Pass</t>
        </is>
      </c>
      <c r="F27" s="8" t="n">
        <v>50.8</v>
      </c>
      <c r="G27" s="8" t="inlineStr">
        <is>
          <t>2026-10-08</t>
        </is>
      </c>
    </row>
    <row r="28">
      <c r="A28" s="8" t="inlineStr">
        <is>
          <t>test/api/dsarQuickRenewal.test.js</t>
        </is>
      </c>
      <c r="B28" s="8" t="inlineStr">
        <is>
          <t>API</t>
        </is>
      </c>
      <c r="C28" s="8" t="n">
        <v>6</v>
      </c>
      <c r="D28" s="8" t="inlineStr">
        <is>
          <t>data requests: erasure anonymises; manual refusal; legacy endpoints still work</t>
        </is>
      </c>
      <c r="E28" s="8" t="inlineStr">
        <is>
          <t>Pass</t>
        </is>
      </c>
      <c r="F28" s="8" t="n">
        <v>33.7</v>
      </c>
      <c r="G28" s="8" t="inlineStr">
        <is>
          <t>2026-10-08</t>
        </is>
      </c>
    </row>
    <row r="29">
      <c r="A29" s="8" t="inlineStr">
        <is>
          <t>test/api/dsarQuickRenewal.test.js</t>
        </is>
      </c>
      <c r="B29" s="8" t="inlineStr">
        <is>
          <t>API</t>
        </is>
      </c>
      <c r="C29" s="8" t="n">
        <v>7</v>
      </c>
      <c r="D29" s="8" t="inlineStr">
        <is>
          <t>data requests: the customer’s own download in the app is recorded as a completed access request (channel app)</t>
        </is>
      </c>
      <c r="E29" s="8" t="inlineStr">
        <is>
          <t>Pass</t>
        </is>
      </c>
      <c r="F29" s="8" t="n">
        <v>18.1</v>
      </c>
      <c r="G29" s="8" t="inlineStr">
        <is>
          <t>2026-10-08</t>
        </is>
      </c>
    </row>
    <row r="30">
      <c r="A30" s="8" t="inlineStr">
        <is>
          <t>test/api/dsarQuickRenewal.test.js</t>
        </is>
      </c>
      <c r="B30" s="8" t="inlineStr">
        <is>
          <t>API</t>
        </is>
      </c>
      <c r="C30" s="8" t="n">
        <v>8</v>
      </c>
      <c r="D30" s="8" t="inlineStr">
        <is>
          <t>quick renewal: app contract — not eligible until the vehicle is confirmed, then 3 interactions renew</t>
        </is>
      </c>
      <c r="E30" s="8" t="inlineStr">
        <is>
          <t>Pass</t>
        </is>
      </c>
      <c r="F30" s="8" t="n">
        <v>23.2</v>
      </c>
      <c r="G30" s="8" t="inlineStr">
        <is>
          <t>2026-10-08</t>
        </is>
      </c>
    </row>
    <row r="31">
      <c r="A31" s="8" t="inlineStr">
        <is>
          <t>test/api/dsarQuickRenewal.test.js</t>
        </is>
      </c>
      <c r="B31" s="8" t="inlineStr">
        <is>
          <t>API</t>
        </is>
      </c>
      <c r="C31" s="8" t="n">
        <v>9</v>
      </c>
      <c r="D31" s="8" t="inlineStr">
        <is>
          <t>quick renewal: the customer app offers it as 3 taps next to the full flow (static contract)</t>
        </is>
      </c>
      <c r="E31" s="8" t="inlineStr">
        <is>
          <t>Pass</t>
        </is>
      </c>
      <c r="F31" s="8" t="n">
        <v>2</v>
      </c>
      <c r="G31" s="8" t="inlineStr">
        <is>
          <t>2026-10-08</t>
        </is>
      </c>
    </row>
    <row r="32">
      <c r="A32" s="8" t="inlineStr">
        <is>
          <t>test/api/dsarQuickRenewal.test.js</t>
        </is>
      </c>
      <c r="B32" s="8" t="inlineStr">
        <is>
          <t>API</t>
        </is>
      </c>
      <c r="C32" s="8" t="n">
        <v>10</v>
      </c>
      <c r="D32" s="8" t="inlineStr">
        <is>
          <t>quick renewal: disabled in service levels → no quick path</t>
        </is>
      </c>
      <c r="E32" s="8" t="inlineStr">
        <is>
          <t>Pass</t>
        </is>
      </c>
      <c r="F32" s="8" t="n">
        <v>12.6</v>
      </c>
      <c r="G32" s="8" t="inlineStr">
        <is>
          <t>2026-10-08</t>
        </is>
      </c>
    </row>
    <row r="33">
      <c r="A33" s="8" t="inlineStr">
        <is>
          <t>test/api/salesConsole.test.js</t>
        </is>
      </c>
      <c r="B33" s="8" t="inlineStr">
        <is>
          <t>API</t>
        </is>
      </c>
      <c r="C33" s="8" t="n">
        <v>1</v>
      </c>
      <c r="D33" s="8" t="inlineStr">
        <is>
          <t>lead queue: plate search and owner / vehicle / expiry display fields (masked per permission)</t>
        </is>
      </c>
      <c r="E33" s="8" t="inlineStr">
        <is>
          <t>Pass</t>
        </is>
      </c>
      <c r="F33" s="8" t="n">
        <v>1267</v>
      </c>
      <c r="G33" s="8" t="inlineStr">
        <is>
          <t>2026-10-08</t>
        </is>
      </c>
    </row>
    <row r="34">
      <c r="A34" s="8" t="inlineStr">
        <is>
          <t>test/api/salesConsole.test.js</t>
        </is>
      </c>
      <c r="B34" s="8" t="inlineStr">
        <is>
          <t>API</t>
        </is>
      </c>
      <c r="C34" s="8" t="n">
        <v>2</v>
      </c>
      <c r="D34" s="8" t="inlineStr">
        <is>
          <t>dashboard overview: forward pipeline, DQ by status and due touchpoints</t>
        </is>
      </c>
      <c r="E34" s="8" t="inlineStr">
        <is>
          <t>Pass</t>
        </is>
      </c>
      <c r="F34" s="8" t="n">
        <v>64.7</v>
      </c>
      <c r="G34" s="8" t="inlineStr">
        <is>
          <t>2026-10-08</t>
        </is>
      </c>
    </row>
    <row r="35">
      <c r="A35" s="8" t="inlineStr">
        <is>
          <t>test/api/salesConsole.test.js</t>
        </is>
      </c>
      <c r="B35" s="8" t="inlineStr">
        <is>
          <t>API</t>
        </is>
      </c>
      <c r="C35" s="8" t="n">
        <v>3</v>
      </c>
      <c r="D35" s="8" t="inlineStr">
        <is>
          <t>voice campaign: dry-run preview, recorded run, campaign list and call list</t>
        </is>
      </c>
      <c r="E35" s="8" t="inlineStr">
        <is>
          <t>Pass</t>
        </is>
      </c>
      <c r="F35" s="8" t="n">
        <v>174.7</v>
      </c>
      <c r="G35" s="8" t="inlineStr">
        <is>
          <t>2026-10-08</t>
        </is>
      </c>
    </row>
    <row r="36">
      <c r="A36" s="8" t="inlineStr">
        <is>
          <t>test/api/salesConsole.test.js</t>
        </is>
      </c>
      <c r="B36" s="8" t="inlineStr">
        <is>
          <t>API</t>
        </is>
      </c>
      <c r="C36" s="8" t="n">
        <v>4</v>
      </c>
      <c r="D36" s="8" t="inlineStr">
        <is>
          <t>handoffs: assignee names, SLA due time and assignee list for supervisors</t>
        </is>
      </c>
      <c r="E36" s="8" t="inlineStr">
        <is>
          <t>Pass</t>
        </is>
      </c>
      <c r="F36" s="8" t="n">
        <v>115.6</v>
      </c>
      <c r="G36" s="8" t="inlineStr">
        <is>
          <t>2026-10-08</t>
        </is>
      </c>
    </row>
    <row r="37">
      <c r="A37" s="8" t="inlineStr">
        <is>
          <t>test/functional/ep01-04-data-leads-journeys.test.js</t>
        </is>
      </c>
      <c r="B37" s="8" t="inlineStr">
        <is>
          <t>Functional</t>
        </is>
      </c>
      <c r="C37" s="8" t="n">
        <v>1</v>
      </c>
      <c r="D37" s="8" t="inlineStr">
        <is>
          <t>US-001 · Duplicate records for the same vehicle merge into one golden profile</t>
        </is>
      </c>
      <c r="E37" s="8" t="inlineStr">
        <is>
          <t>Pass</t>
        </is>
      </c>
      <c r="F37" s="8" t="n">
        <v>1215.9</v>
      </c>
      <c r="G37" s="8" t="inlineStr">
        <is>
          <t>2026-10-08</t>
        </is>
      </c>
    </row>
    <row r="38">
      <c r="A38" s="8" t="inlineStr">
        <is>
          <t>test/functional/ep01-04-data-leads-journeys.test.js</t>
        </is>
      </c>
      <c r="B38" s="8" t="inlineStr">
        <is>
          <t>Functional</t>
        </is>
      </c>
      <c r="C38" s="8" t="n">
        <v>2</v>
      </c>
      <c r="D38" s="8" t="inlineStr">
        <is>
          <t>US-001 · Invalid plate is rejected and raised as a DQ issue</t>
        </is>
      </c>
      <c r="E38" s="8" t="inlineStr">
        <is>
          <t>Pass</t>
        </is>
      </c>
      <c r="F38" s="8" t="n">
        <v>6.1</v>
      </c>
      <c r="G38" s="8" t="inlineStr">
        <is>
          <t>2026-10-08</t>
        </is>
      </c>
    </row>
    <row r="39">
      <c r="A39" s="8" t="inlineStr">
        <is>
          <t>test/functional/ep01-04-data-leads-journeys.test.js</t>
        </is>
      </c>
      <c r="B39" s="8" t="inlineStr">
        <is>
          <t>Functional</t>
        </is>
      </c>
      <c r="C39" s="8" t="n">
        <v>3</v>
      </c>
      <c r="D39" s="8" t="inlineStr">
        <is>
          <t>US-001 · Batch size limit</t>
        </is>
      </c>
      <c r="E39" s="8" t="inlineStr">
        <is>
          <t>Pass</t>
        </is>
      </c>
      <c r="F39" s="8" t="n">
        <v>12.2</v>
      </c>
      <c r="G39" s="8" t="inlineStr">
        <is>
          <t>2026-10-08</t>
        </is>
      </c>
    </row>
    <row r="40">
      <c r="A40" s="8" t="inlineStr">
        <is>
          <t>test/functional/ep01-04-data-leads-journeys.test.js</t>
        </is>
      </c>
      <c r="B40" s="8" t="inlineStr">
        <is>
          <t>Functional</t>
        </is>
      </c>
      <c r="C40" s="8" t="n">
        <v>4</v>
      </c>
      <c r="D40" s="8" t="inlineStr">
        <is>
          <t>US-002 · Verified certificate wins</t>
        </is>
      </c>
      <c r="E40" s="8" t="inlineStr">
        <is>
          <t>Pass</t>
        </is>
      </c>
      <c r="F40" s="8" t="n">
        <v>0.9</v>
      </c>
      <c r="G40" s="8" t="inlineStr">
        <is>
          <t>2026-10-08</t>
        </is>
      </c>
    </row>
    <row r="41">
      <c r="A41" s="8" t="inlineStr">
        <is>
          <t>test/functional/ep01-04-data-leads-journeys.test.js</t>
        </is>
      </c>
      <c r="B41" s="8" t="inlineStr">
        <is>
          <t>Functional</t>
        </is>
      </c>
      <c r="C41" s="8" t="n">
        <v>5</v>
      </c>
      <c r="D41" s="8" t="inlineStr">
        <is>
          <t>US-002 · Agreeing weak evidence is corroborated</t>
        </is>
      </c>
      <c r="E41" s="8" t="inlineStr">
        <is>
          <t>Pass</t>
        </is>
      </c>
      <c r="F41" s="8" t="n">
        <v>0.8</v>
      </c>
      <c r="G41" s="8" t="inlineStr">
        <is>
          <t>2026-10-08</t>
        </is>
      </c>
    </row>
    <row r="42">
      <c r="A42" s="8" t="inlineStr">
        <is>
          <t>test/functional/ep01-04-data-leads-journeys.test.js</t>
        </is>
      </c>
      <c r="B42" s="8" t="inlineStr">
        <is>
          <t>Functional</t>
        </is>
      </c>
      <c r="C42" s="8" t="n">
        <v>6</v>
      </c>
      <c r="D42" s="8" t="inlineStr">
        <is>
          <t>US-002 · Lineage shows the evidence</t>
        </is>
      </c>
      <c r="E42" s="8" t="inlineStr">
        <is>
          <t>Pass</t>
        </is>
      </c>
      <c r="F42" s="8" t="n">
        <v>6.5</v>
      </c>
      <c r="G42" s="8" t="inlineStr">
        <is>
          <t>2026-10-08</t>
        </is>
      </c>
    </row>
    <row r="43">
      <c r="A43" s="8" t="inlineStr">
        <is>
          <t>test/functional/ep01-04-data-leads-journeys.test.js</t>
        </is>
      </c>
      <c r="B43" s="8" t="inlineStr">
        <is>
          <t>Functional</t>
        </is>
      </c>
      <c r="C43" s="8" t="n">
        <v>7</v>
      </c>
      <c r="D43" s="8" t="inlineStr">
        <is>
          <t>US-003 · Correction requires evidence and is audited</t>
        </is>
      </c>
      <c r="E43" s="8" t="inlineStr">
        <is>
          <t>Pass</t>
        </is>
      </c>
      <c r="F43" s="8" t="n">
        <v>8.9</v>
      </c>
      <c r="G43" s="8" t="inlineStr">
        <is>
          <t>2026-10-08</t>
        </is>
      </c>
    </row>
    <row r="44">
      <c r="A44" s="8" t="inlineStr">
        <is>
          <t>test/functional/ep01-04-data-leads-journeys.test.js</t>
        </is>
      </c>
      <c r="B44" s="8" t="inlineStr">
        <is>
          <t>Functional</t>
        </is>
      </c>
      <c r="C44" s="8" t="n">
        <v>8</v>
      </c>
      <c r="D44" s="8" t="inlineStr">
        <is>
          <t>US-003 · Missing evidence</t>
        </is>
      </c>
      <c r="E44" s="8" t="inlineStr">
        <is>
          <t>Pass</t>
        </is>
      </c>
      <c r="F44" s="8" t="n">
        <v>4.3</v>
      </c>
      <c r="G44" s="8" t="inlineStr">
        <is>
          <t>2026-10-08</t>
        </is>
      </c>
    </row>
    <row r="45">
      <c r="A45" s="8" t="inlineStr">
        <is>
          <t>test/functional/ep01-04-data-leads-journeys.test.js</t>
        </is>
      </c>
      <c r="B45" s="8" t="inlineStr">
        <is>
          <t>Functional</t>
        </is>
      </c>
      <c r="C45" s="8" t="n">
        <v>9</v>
      </c>
      <c r="D45" s="8" t="inlineStr">
        <is>
          <t>US-004 · Filter and resolve</t>
        </is>
      </c>
      <c r="E45" s="8" t="inlineStr">
        <is>
          <t>Pass</t>
        </is>
      </c>
      <c r="F45" s="8" t="n">
        <v>15</v>
      </c>
      <c r="G45" s="8" t="inlineStr">
        <is>
          <t>2026-10-08</t>
        </is>
      </c>
    </row>
    <row r="46">
      <c r="A46" s="8" t="inlineStr">
        <is>
          <t>test/functional/ep01-04-data-leads-journeys.test.js</t>
        </is>
      </c>
      <c r="B46" s="8" t="inlineStr">
        <is>
          <t>Functional</t>
        </is>
      </c>
      <c r="C46" s="8" t="n">
        <v>10</v>
      </c>
      <c r="D46" s="8" t="inlineStr">
        <is>
          <t>US-005 · Customer declaration beats a weaker reload</t>
        </is>
      </c>
      <c r="E46" s="8" t="inlineStr">
        <is>
          <t>Pass</t>
        </is>
      </c>
      <c r="F46" s="8" t="n">
        <v>34</v>
      </c>
      <c r="G46" s="8" t="inlineStr">
        <is>
          <t>2026-10-08</t>
        </is>
      </c>
    </row>
    <row r="47">
      <c r="A47" s="8" t="inlineStr">
        <is>
          <t>test/functional/ep01-04-data-leads-journeys.test.js</t>
        </is>
      </c>
      <c r="B47" s="8" t="inlineStr">
        <is>
          <t>Functional</t>
        </is>
      </c>
      <c r="C47" s="8" t="n">
        <v>11</v>
      </c>
      <c r="D47" s="8" t="inlineStr">
        <is>
          <t>US-005 · Consent withdrawal survives reload</t>
        </is>
      </c>
      <c r="E47" s="8" t="inlineStr">
        <is>
          <t>Pass</t>
        </is>
      </c>
      <c r="F47" s="8" t="n">
        <v>23.8</v>
      </c>
      <c r="G47" s="8" t="inlineStr">
        <is>
          <t>2026-10-08</t>
        </is>
      </c>
    </row>
    <row r="48">
      <c r="A48" s="8" t="inlineStr">
        <is>
          <t>test/functional/ep01-04-data-leads-journeys.test.js</t>
        </is>
      </c>
      <c r="B48" s="8" t="inlineStr">
        <is>
          <t>Functional</t>
        </is>
      </c>
      <c r="C48" s="8" t="n">
        <v>12</v>
      </c>
      <c r="D48" s="8" t="inlineStr">
        <is>
          <t>US-006 · Declared seats beat toll class</t>
        </is>
      </c>
      <c r="E48" s="8" t="inlineStr">
        <is>
          <t>Pass</t>
        </is>
      </c>
      <c r="F48" s="8" t="n">
        <v>0.5</v>
      </c>
      <c r="G48" s="8" t="inlineStr">
        <is>
          <t>2026-10-08</t>
        </is>
      </c>
    </row>
    <row r="49">
      <c r="A49" s="8" t="inlineStr">
        <is>
          <t>test/functional/ep01-04-data-leads-journeys.test.js</t>
        </is>
      </c>
      <c r="B49" s="8" t="inlineStr">
        <is>
          <t>Functional</t>
        </is>
      </c>
      <c r="C49" s="8" t="n">
        <v>13</v>
      </c>
      <c r="D49" s="8" t="inlineStr">
        <is>
          <t>US-006 · Toll class only</t>
        </is>
      </c>
      <c r="E49" s="8" t="inlineStr">
        <is>
          <t>Pass</t>
        </is>
      </c>
      <c r="F49" s="8" t="n">
        <v>0.5</v>
      </c>
      <c r="G49" s="8" t="inlineStr">
        <is>
          <t>2026-10-08</t>
        </is>
      </c>
    </row>
    <row r="50">
      <c r="A50" s="8" t="inlineStr">
        <is>
          <t>test/functional/ep01-04-data-leads-journeys.test.js</t>
        </is>
      </c>
      <c r="B50" s="8" t="inlineStr">
        <is>
          <t>Functional</t>
        </is>
      </c>
      <c r="C50" s="8" t="n">
        <v>14</v>
      </c>
      <c r="D50" s="8" t="inlineStr">
        <is>
          <t>US-007 · Score, tier and reasons</t>
        </is>
      </c>
      <c r="E50" s="8" t="inlineStr">
        <is>
          <t>Pass</t>
        </is>
      </c>
      <c r="F50" s="8" t="n">
        <v>77.40000000000001</v>
      </c>
      <c r="G50" s="8" t="inlineStr">
        <is>
          <t>2026-10-08</t>
        </is>
      </c>
    </row>
    <row r="51">
      <c r="A51" s="8" t="inlineStr">
        <is>
          <t>test/functional/ep01-04-data-leads-journeys.test.js</t>
        </is>
      </c>
      <c r="B51" s="8" t="inlineStr">
        <is>
          <t>Functional</t>
        </is>
      </c>
      <c r="C51" s="8" t="n">
        <v>15</v>
      </c>
      <c r="D51" s="8" t="inlineStr">
        <is>
          <t>US-007 · Do-not-contact zeroes the score</t>
        </is>
      </c>
      <c r="E51" s="8" t="inlineStr">
        <is>
          <t>Pass</t>
        </is>
      </c>
      <c r="F51" s="8" t="n">
        <v>6.8</v>
      </c>
      <c r="G51" s="8" t="inlineStr">
        <is>
          <t>2026-10-08</t>
        </is>
      </c>
    </row>
    <row r="52">
      <c r="A52" s="8" t="inlineStr">
        <is>
          <t>test/functional/ep01-04-data-leads-journeys.test.js</t>
        </is>
      </c>
      <c r="B52" s="8" t="inlineStr">
        <is>
          <t>Functional</t>
        </is>
      </c>
      <c r="C52" s="8" t="n">
        <v>16</v>
      </c>
      <c r="D52" s="8" t="inlineStr">
        <is>
          <t>US-007 · Filtering</t>
        </is>
      </c>
      <c r="E52" s="8" t="inlineStr">
        <is>
          <t>Pass</t>
        </is>
      </c>
      <c r="F52" s="8" t="n">
        <v>10.2</v>
      </c>
      <c r="G52" s="8" t="inlineStr">
        <is>
          <t>2026-10-08</t>
        </is>
      </c>
    </row>
    <row r="53">
      <c r="A53" s="8" t="inlineStr">
        <is>
          <t>test/functional/ep01-04-data-leads-journeys.test.js</t>
        </is>
      </c>
      <c r="B53" s="8" t="inlineStr">
        <is>
          <t>Functional</t>
        </is>
      </c>
      <c r="C53" s="8" t="n">
        <v>17</v>
      </c>
      <c r="D53" s="8" t="inlineStr">
        <is>
          <t>US-008 · First matching NBA rule wins</t>
        </is>
      </c>
      <c r="E53" s="8" t="inlineStr">
        <is>
          <t>Pass</t>
        </is>
      </c>
      <c r="F53" s="8" t="n">
        <v>6.8</v>
      </c>
      <c r="G53" s="8" t="inlineStr">
        <is>
          <t>2026-10-08</t>
        </is>
      </c>
    </row>
    <row r="54">
      <c r="A54" s="8" t="inlineStr">
        <is>
          <t>test/functional/ep01-04-data-leads-journeys.test.js</t>
        </is>
      </c>
      <c r="B54" s="8" t="inlineStr">
        <is>
          <t>Functional</t>
        </is>
      </c>
      <c r="C54" s="8" t="n">
        <v>18</v>
      </c>
      <c r="D54" s="8" t="inlineStr">
        <is>
          <t>US-009 · Region scoping</t>
        </is>
      </c>
      <c r="E54" s="8" t="inlineStr">
        <is>
          <t>Pass</t>
        </is>
      </c>
      <c r="F54" s="8" t="n">
        <v>55.7</v>
      </c>
      <c r="G54" s="8" t="inlineStr">
        <is>
          <t>2026-10-08</t>
        </is>
      </c>
    </row>
    <row r="55">
      <c r="A55" s="8" t="inlineStr">
        <is>
          <t>test/functional/ep01-04-data-leads-journeys.test.js</t>
        </is>
      </c>
      <c r="B55" s="8" t="inlineStr">
        <is>
          <t>Functional</t>
        </is>
      </c>
      <c r="C55" s="8" t="n">
        <v>19</v>
      </c>
      <c r="D55" s="8" t="inlineStr">
        <is>
          <t>US-009 · Profile outside region</t>
        </is>
      </c>
      <c r="E55" s="8" t="inlineStr">
        <is>
          <t>Pass</t>
        </is>
      </c>
      <c r="F55" s="8" t="n">
        <v>9.300000000000001</v>
      </c>
      <c r="G55" s="8" t="inlineStr">
        <is>
          <t>2026-10-08</t>
        </is>
      </c>
    </row>
    <row r="56">
      <c r="A56" s="8" t="inlineStr">
        <is>
          <t>test/functional/ep01-04-data-leads-journeys.test.js</t>
        </is>
      </c>
      <c r="B56" s="8" t="inlineStr">
        <is>
          <t>Functional</t>
        </is>
      </c>
      <c r="C56" s="8" t="n">
        <v>20</v>
      </c>
      <c r="D56" s="8" t="inlineStr">
        <is>
          <t>US-010 · Purchase stops journeys</t>
        </is>
      </c>
      <c r="E56" s="8" t="inlineStr">
        <is>
          <t>Pass</t>
        </is>
      </c>
      <c r="F56" s="8" t="n">
        <v>32.3</v>
      </c>
      <c r="G56" s="8" t="inlineStr">
        <is>
          <t>2026-10-08</t>
        </is>
      </c>
    </row>
    <row r="57">
      <c r="A57" s="8" t="inlineStr">
        <is>
          <t>test/functional/ep01-04-data-leads-journeys.test.js</t>
        </is>
      </c>
      <c r="B57" s="8" t="inlineStr">
        <is>
          <t>Functional</t>
        </is>
      </c>
      <c r="C57" s="8" t="n">
        <v>21</v>
      </c>
      <c r="D57" s="8" t="inlineStr">
        <is>
          <t>US-011 · Recompute</t>
        </is>
      </c>
      <c r="E57" s="8" t="inlineStr">
        <is>
          <t>Pass</t>
        </is>
      </c>
      <c r="F57" s="8" t="n">
        <v>82.40000000000001</v>
      </c>
      <c r="G57" s="8" t="inlineStr">
        <is>
          <t>2026-10-08</t>
        </is>
      </c>
    </row>
    <row r="58">
      <c r="A58" s="8" t="inlineStr">
        <is>
          <t>test/functional/ep01-04-data-leads-journeys.test.js</t>
        </is>
      </c>
      <c r="B58" s="8" t="inlineStr">
        <is>
          <t>Functional</t>
        </is>
      </c>
      <c r="C58" s="8" t="n">
        <v>22</v>
      </c>
      <c r="D58" s="8" t="inlineStr">
        <is>
          <t>US-012 · Renewal cadence is planned from expiry</t>
        </is>
      </c>
      <c r="E58" s="8" t="inlineStr">
        <is>
          <t>Pass</t>
        </is>
      </c>
      <c r="F58" s="8" t="n">
        <v>1.8</v>
      </c>
      <c r="G58" s="8" t="inlineStr">
        <is>
          <t>2026-10-08</t>
        </is>
      </c>
    </row>
    <row r="59">
      <c r="A59" s="8" t="inlineStr">
        <is>
          <t>test/functional/ep01-04-data-leads-journeys.test.js</t>
        </is>
      </c>
      <c r="B59" s="8" t="inlineStr">
        <is>
          <t>Functional</t>
        </is>
      </c>
      <c r="C59" s="8" t="n">
        <v>23</v>
      </c>
      <c r="D59" s="8" t="inlineStr">
        <is>
          <t>US-012 · App push first, then fallback</t>
        </is>
      </c>
      <c r="E59" s="8" t="inlineStr">
        <is>
          <t>Pass</t>
        </is>
      </c>
      <c r="F59" s="8" t="n">
        <v>1.7</v>
      </c>
      <c r="G59" s="8" t="inlineStr">
        <is>
          <t>2026-10-08</t>
        </is>
      </c>
    </row>
    <row r="60">
      <c r="A60" s="8" t="inlineStr">
        <is>
          <t>test/functional/ep01-04-data-leads-journeys.test.js</t>
        </is>
      </c>
      <c r="B60" s="8" t="inlineStr">
        <is>
          <t>Functional</t>
        </is>
      </c>
      <c r="C60" s="8" t="n">
        <v>24</v>
      </c>
      <c r="D60" s="8" t="inlineStr">
        <is>
          <t>US-013 · Outside the contact window</t>
        </is>
      </c>
      <c r="E60" s="8" t="inlineStr">
        <is>
          <t>Pass</t>
        </is>
      </c>
      <c r="F60" s="8" t="n">
        <v>0.4</v>
      </c>
      <c r="G60" s="8" t="inlineStr">
        <is>
          <t>2026-10-08</t>
        </is>
      </c>
    </row>
    <row r="61">
      <c r="A61" s="8" t="inlineStr">
        <is>
          <t>test/functional/ep01-04-data-leads-journeys.test.js</t>
        </is>
      </c>
      <c r="B61" s="8" t="inlineStr">
        <is>
          <t>Functional</t>
        </is>
      </c>
      <c r="C61" s="8" t="n">
        <v>25</v>
      </c>
      <c r="D61" s="8" t="inlineStr">
        <is>
          <t>US-013 · Weekly cap</t>
        </is>
      </c>
      <c r="E61" s="8" t="inlineStr">
        <is>
          <t>Pass</t>
        </is>
      </c>
      <c r="F61" s="8" t="n">
        <v>0.3</v>
      </c>
      <c r="G61" s="8" t="inlineStr">
        <is>
          <t>2026-10-08</t>
        </is>
      </c>
    </row>
    <row r="62">
      <c r="A62" s="8" t="inlineStr">
        <is>
          <t>test/functional/ep01-04-data-leads-journeys.test.js</t>
        </is>
      </c>
      <c r="B62" s="8" t="inlineStr">
        <is>
          <t>Functional</t>
        </is>
      </c>
      <c r="C62" s="8" t="n">
        <v>26</v>
      </c>
      <c r="D62" s="8" t="inlineStr">
        <is>
          <t>US-013 · No marketing consent</t>
        </is>
      </c>
      <c r="E62" s="8" t="inlineStr">
        <is>
          <t>Pass</t>
        </is>
      </c>
      <c r="F62" s="8" t="n">
        <v>0.2</v>
      </c>
      <c r="G62" s="8" t="inlineStr">
        <is>
          <t>2026-10-08</t>
        </is>
      </c>
    </row>
    <row r="63">
      <c r="A63" s="8" t="inlineStr">
        <is>
          <t>test/functional/ep01-04-data-leads-journeys.test.js</t>
        </is>
      </c>
      <c r="B63" s="8" t="inlineStr">
        <is>
          <t>Functional</t>
        </is>
      </c>
      <c r="C63" s="8" t="n">
        <v>27</v>
      </c>
      <c r="D63" s="8" t="inlineStr">
        <is>
          <t>US-014 · Send-time block</t>
        </is>
      </c>
      <c r="E63" s="8" t="inlineStr">
        <is>
          <t>Pass</t>
        </is>
      </c>
      <c r="F63" s="8" t="n">
        <v>8.199999999999999</v>
      </c>
      <c r="G63" s="8" t="inlineStr">
        <is>
          <t>2026-10-08</t>
        </is>
      </c>
    </row>
    <row r="64">
      <c r="A64" s="8" t="inlineStr">
        <is>
          <t>test/functional/ep01-04-data-leads-journeys.test.js</t>
        </is>
      </c>
      <c r="B64" s="8" t="inlineStr">
        <is>
          <t>Functional</t>
        </is>
      </c>
      <c r="C64" s="8" t="n">
        <v>28</v>
      </c>
      <c r="D64" s="8" t="inlineStr">
        <is>
          <t>US-014 · Diacritic-insensitive</t>
        </is>
      </c>
      <c r="E64" s="8" t="inlineStr">
        <is>
          <t>Pass</t>
        </is>
      </c>
      <c r="F64" s="8" t="n">
        <v>0.3</v>
      </c>
      <c r="G64" s="8" t="inlineStr">
        <is>
          <t>2026-10-08</t>
        </is>
      </c>
    </row>
    <row r="65">
      <c r="A65" s="8" t="inlineStr">
        <is>
          <t>test/functional/ep01-04-data-leads-journeys.test.js</t>
        </is>
      </c>
      <c r="B65" s="8" t="inlineStr">
        <is>
          <t>Functional</t>
        </is>
      </c>
      <c r="C65" s="8" t="n">
        <v>29</v>
      </c>
      <c r="D65" s="8" t="inlineStr">
        <is>
          <t>US-015 · Service message bypasses caps but not DNC</t>
        </is>
      </c>
      <c r="E65" s="8" t="inlineStr">
        <is>
          <t>Pass</t>
        </is>
      </c>
      <c r="F65" s="8" t="n">
        <v>0.2</v>
      </c>
      <c r="G65" s="8" t="inlineStr">
        <is>
          <t>2026-10-08</t>
        </is>
      </c>
    </row>
    <row r="66">
      <c r="A66" s="8" t="inlineStr">
        <is>
          <t>test/functional/ep01-04-data-leads-journeys.test.js</t>
        </is>
      </c>
      <c r="B66" s="8" t="inlineStr">
        <is>
          <t>Functional</t>
        </is>
      </c>
      <c r="C66" s="8" t="n">
        <v>30</v>
      </c>
      <c r="D66" s="8" t="inlineStr">
        <is>
          <t>US-016 · Journey escalation</t>
        </is>
      </c>
      <c r="E66" s="8" t="inlineStr">
        <is>
          <t>Pass</t>
        </is>
      </c>
      <c r="F66" s="8" t="n">
        <v>0.8</v>
      </c>
      <c r="G66" s="8" t="inlineStr">
        <is>
          <t>2026-10-08</t>
        </is>
      </c>
    </row>
    <row r="67">
      <c r="A67" s="8" t="inlineStr">
        <is>
          <t>test/functional/ep01-04-data-leads-journeys.test.js</t>
        </is>
      </c>
      <c r="B67" s="8" t="inlineStr">
        <is>
          <t>Functional</t>
        </is>
      </c>
      <c r="C67" s="8" t="n">
        <v>31</v>
      </c>
      <c r="D67" s="8" t="inlineStr">
        <is>
          <t>US-017 · Lapsed vehicle enters the recovery journey</t>
        </is>
      </c>
      <c r="E67" s="8" t="inlineStr">
        <is>
          <t>Pass</t>
        </is>
      </c>
      <c r="F67" s="8" t="n">
        <v>0.6</v>
      </c>
      <c r="G67" s="8" t="inlineStr">
        <is>
          <t>2026-10-08</t>
        </is>
      </c>
    </row>
    <row r="68">
      <c r="A68" s="8" t="inlineStr">
        <is>
          <t>test/functional/ep01-04-data-leads-journeys.test.js</t>
        </is>
      </c>
      <c r="B68" s="8" t="inlineStr">
        <is>
          <t>Functional</t>
        </is>
      </c>
      <c r="C68" s="8" t="n">
        <v>32</v>
      </c>
      <c r="D68" s="8" t="inlineStr">
        <is>
          <t>US-017 · Lapsed too long is not assumed uninsured</t>
        </is>
      </c>
      <c r="E68" s="8" t="inlineStr">
        <is>
          <t>Pass</t>
        </is>
      </c>
      <c r="F68" s="8" t="n">
        <v>0.5</v>
      </c>
      <c r="G68" s="8" t="inlineStr">
        <is>
          <t>2026-10-08</t>
        </is>
      </c>
    </row>
    <row r="69">
      <c r="A69" s="8" t="inlineStr">
        <is>
          <t>test/functional/ep01-04-data-leads-journeys.test.js</t>
        </is>
      </c>
      <c r="B69" s="8" t="inlineStr">
        <is>
          <t>Functional</t>
        </is>
      </c>
      <c r="C69" s="8" t="n">
        <v>33</v>
      </c>
      <c r="D69" s="8" t="inlineStr">
        <is>
          <t>US-018 · Tag activation triggers onboarding</t>
        </is>
      </c>
      <c r="E69" s="8" t="inlineStr">
        <is>
          <t>Pass</t>
        </is>
      </c>
      <c r="F69" s="8" t="n">
        <v>19.4</v>
      </c>
      <c r="G69" s="8" t="inlineStr">
        <is>
          <t>2026-10-08</t>
        </is>
      </c>
    </row>
    <row r="70">
      <c r="A70" s="8" t="inlineStr">
        <is>
          <t>test/functional/ep01-04-data-leads-journeys.test.js</t>
        </is>
      </c>
      <c r="B70" s="8" t="inlineStr">
        <is>
          <t>Functional</t>
        </is>
      </c>
      <c r="C70" s="8" t="n">
        <v>34</v>
      </c>
      <c r="D70" s="8" t="inlineStr">
        <is>
          <t>US-019 · Conquest copy is benefit-led and lawful</t>
        </is>
      </c>
      <c r="E70" s="8" t="inlineStr">
        <is>
          <t>Pass</t>
        </is>
      </c>
      <c r="F70" s="8" t="n">
        <v>0.5</v>
      </c>
      <c r="G70" s="8" t="inlineStr">
        <is>
          <t>2026-10-08</t>
        </is>
      </c>
    </row>
    <row r="71">
      <c r="A71" s="8" t="inlineStr">
        <is>
          <t>test/functional/ep01-04-data-leads-journeys.test.js</t>
        </is>
      </c>
      <c r="B71" s="8" t="inlineStr">
        <is>
          <t>Functional</t>
        </is>
      </c>
      <c r="C71" s="8" t="n">
        <v>35</v>
      </c>
      <c r="D71" s="8" t="inlineStr">
        <is>
          <t>US-020 · Inspection booked with expiry soon</t>
        </is>
      </c>
      <c r="E71" s="8" t="inlineStr">
        <is>
          <t>Pass</t>
        </is>
      </c>
      <c r="F71" s="8" t="n">
        <v>4</v>
      </c>
      <c r="G71" s="8" t="inlineStr">
        <is>
          <t>2026-10-08</t>
        </is>
      </c>
    </row>
    <row r="72">
      <c r="A72" s="8" t="inlineStr">
        <is>
          <t>test/functional/ep01-04-data-leads-journeys.test.js</t>
        </is>
      </c>
      <c r="B72" s="8" t="inlineStr">
        <is>
          <t>Functional</t>
        </is>
      </c>
      <c r="C72" s="8" t="n">
        <v>36</v>
      </c>
      <c r="D72" s="8" t="inlineStr">
        <is>
          <t>US-020 · Expiry far away</t>
        </is>
      </c>
      <c r="E72" s="8" t="inlineStr">
        <is>
          <t>Pass</t>
        </is>
      </c>
      <c r="F72" s="8" t="n">
        <v>2.6</v>
      </c>
      <c r="G72" s="8" t="inlineStr">
        <is>
          <t>2026-10-08</t>
        </is>
      </c>
    </row>
    <row r="73">
      <c r="A73" s="8" t="inlineStr">
        <is>
          <t>test/functional/ep01-04-data-leads-journeys.test.js</t>
        </is>
      </c>
      <c r="B73" s="8" t="inlineStr">
        <is>
          <t>Functional</t>
        </is>
      </c>
      <c r="C73" s="8" t="n">
        <v>37</v>
      </c>
      <c r="D73" s="8" t="inlineStr">
        <is>
          <t>US-021 · Wallet top-up within ±30 days of expiry</t>
        </is>
      </c>
      <c r="E73" s="8" t="inlineStr">
        <is>
          <t>Pass</t>
        </is>
      </c>
      <c r="F73" s="8" t="n">
        <v>2.7</v>
      </c>
      <c r="G73" s="8" t="inlineStr">
        <is>
          <t>2026-10-08</t>
        </is>
      </c>
    </row>
    <row r="74">
      <c r="A74" s="8" t="inlineStr">
        <is>
          <t>test/functional/ep01-04-data-leads-journeys.test.js</t>
        </is>
      </c>
      <c r="B74" s="8" t="inlineStr">
        <is>
          <t>Functional</t>
        </is>
      </c>
      <c r="C74" s="8" t="n">
        <v>38</v>
      </c>
      <c r="D74" s="8" t="inlineStr">
        <is>
          <t>US-022 · Simulator</t>
        </is>
      </c>
      <c r="E74" s="8" t="inlineStr">
        <is>
          <t>Pass</t>
        </is>
      </c>
      <c r="F74" s="8" t="n">
        <v>13.7</v>
      </c>
      <c r="G74" s="8" t="inlineStr">
        <is>
          <t>2026-10-08</t>
        </is>
      </c>
    </row>
    <row r="75">
      <c r="A75" s="8" t="inlineStr">
        <is>
          <t>test/functional/ep05-08-voice-sales-app-value.test.js</t>
        </is>
      </c>
      <c r="B75" s="8" t="inlineStr">
        <is>
          <t>Functional</t>
        </is>
      </c>
      <c r="C75" s="8" t="n">
        <v>1</v>
      </c>
      <c r="D75" s="8" t="inlineStr">
        <is>
          <t>US-023 · Opening line</t>
        </is>
      </c>
      <c r="E75" s="8" t="inlineStr">
        <is>
          <t>Pass</t>
        </is>
      </c>
      <c r="F75" s="8" t="n">
        <v>1185.3</v>
      </c>
      <c r="G75" s="8" t="inlineStr">
        <is>
          <t>2026-10-08</t>
        </is>
      </c>
    </row>
    <row r="76">
      <c r="A76" s="8" t="inlineStr">
        <is>
          <t>test/functional/ep05-08-voice-sales-app-value.test.js</t>
        </is>
      </c>
      <c r="B76" s="8" t="inlineStr">
        <is>
          <t>Functional</t>
        </is>
      </c>
      <c r="C76" s="8" t="n">
        <v>2</v>
      </c>
      <c r="D76" s="8" t="inlineStr">
        <is>
          <t>US-024 · Spoken plate matches</t>
        </is>
      </c>
      <c r="E76" s="8" t="inlineStr">
        <is>
          <t>Pass</t>
        </is>
      </c>
      <c r="F76" s="8" t="n">
        <v>23.2</v>
      </c>
      <c r="G76" s="8" t="inlineStr">
        <is>
          <t>2026-10-08</t>
        </is>
      </c>
    </row>
    <row r="77">
      <c r="A77" s="8" t="inlineStr">
        <is>
          <t>test/functional/ep05-08-voice-sales-app-value.test.js</t>
        </is>
      </c>
      <c r="B77" s="8" t="inlineStr">
        <is>
          <t>Functional</t>
        </is>
      </c>
      <c r="C77" s="8" t="n">
        <v>3</v>
      </c>
      <c r="D77" s="8" t="inlineStr">
        <is>
          <t>US-024 · Plate mismatch</t>
        </is>
      </c>
      <c r="E77" s="8" t="inlineStr">
        <is>
          <t>Pass</t>
        </is>
      </c>
      <c r="F77" s="8" t="n">
        <v>18.2</v>
      </c>
      <c r="G77" s="8" t="inlineStr">
        <is>
          <t>2026-10-08</t>
        </is>
      </c>
    </row>
    <row r="78">
      <c r="A78" s="8" t="inlineStr">
        <is>
          <t>test/functional/ep05-08-voice-sales-app-value.test.js</t>
        </is>
      </c>
      <c r="B78" s="8" t="inlineStr">
        <is>
          <t>Functional</t>
        </is>
      </c>
      <c r="C78" s="8" t="n">
        <v>4</v>
      </c>
      <c r="D78" s="8" t="inlineStr">
        <is>
          <t>US-024 · Plate not understood three times</t>
        </is>
      </c>
      <c r="E78" s="8" t="inlineStr">
        <is>
          <t>Pass</t>
        </is>
      </c>
      <c r="F78" s="8" t="n">
        <v>25.9</v>
      </c>
      <c r="G78" s="8" t="inlineStr">
        <is>
          <t>2026-10-08</t>
        </is>
      </c>
    </row>
    <row r="79">
      <c r="A79" s="8" t="inlineStr">
        <is>
          <t>test/functional/ep05-08-voice-sales-app-value.test.js</t>
        </is>
      </c>
      <c r="B79" s="8" t="inlineStr">
        <is>
          <t>Functional</t>
        </is>
      </c>
      <c r="C79" s="8" t="n">
        <v>5</v>
      </c>
      <c r="D79" s="8" t="inlineStr">
        <is>
          <t>US-025 · Price asked</t>
        </is>
      </c>
      <c r="E79" s="8" t="inlineStr">
        <is>
          <t>Pass</t>
        </is>
      </c>
      <c r="F79" s="8" t="n">
        <v>14.7</v>
      </c>
      <c r="G79" s="8" t="inlineStr">
        <is>
          <t>2026-10-08</t>
        </is>
      </c>
    </row>
    <row r="80">
      <c r="A80" s="8" t="inlineStr">
        <is>
          <t>test/functional/ep05-08-voice-sales-app-value.test.js</t>
        </is>
      </c>
      <c r="B80" s="8" t="inlineStr">
        <is>
          <t>Functional</t>
        </is>
      </c>
      <c r="C80" s="8" t="n">
        <v>6</v>
      </c>
      <c r="D80" s="8" t="inlineStr">
        <is>
          <t>US-026 · Scam concern at any point</t>
        </is>
      </c>
      <c r="E80" s="8" t="inlineStr">
        <is>
          <t>Pass</t>
        </is>
      </c>
      <c r="F80" s="8" t="n">
        <v>15.5</v>
      </c>
      <c r="G80" s="8" t="inlineStr">
        <is>
          <t>2026-10-08</t>
        </is>
      </c>
    </row>
    <row r="81">
      <c r="A81" s="8" t="inlineStr">
        <is>
          <t>test/functional/ep05-08-voice-sales-app-value.test.js</t>
        </is>
      </c>
      <c r="B81" s="8" t="inlineStr">
        <is>
          <t>Functional</t>
        </is>
      </c>
      <c r="C81" s="8" t="n">
        <v>7</v>
      </c>
      <c r="D81" s="8" t="inlineStr">
        <is>
          <t>US-027 · Already renewed</t>
        </is>
      </c>
      <c r="E81" s="8" t="inlineStr">
        <is>
          <t>Pass</t>
        </is>
      </c>
      <c r="F81" s="8" t="n">
        <v>26</v>
      </c>
      <c r="G81" s="8" t="inlineStr">
        <is>
          <t>2026-10-08</t>
        </is>
      </c>
    </row>
    <row r="82">
      <c r="A82" s="8" t="inlineStr">
        <is>
          <t>test/functional/ep05-08-voice-sales-app-value.test.js</t>
        </is>
      </c>
      <c r="B82" s="8" t="inlineStr">
        <is>
          <t>Functional</t>
        </is>
      </c>
      <c r="C82" s="8" t="n">
        <v>8</v>
      </c>
      <c r="D82" s="8" t="inlineStr">
        <is>
          <t>US-028 · Opt-out</t>
        </is>
      </c>
      <c r="E82" s="8" t="inlineStr">
        <is>
          <t>Pass</t>
        </is>
      </c>
      <c r="F82" s="8" t="n">
        <v>15.2</v>
      </c>
      <c r="G82" s="8" t="inlineStr">
        <is>
          <t>2026-10-08</t>
        </is>
      </c>
    </row>
    <row r="83">
      <c r="A83" s="8" t="inlineStr">
        <is>
          <t>test/functional/ep05-08-voice-sales-app-value.test.js</t>
        </is>
      </c>
      <c r="B83" s="8" t="inlineStr">
        <is>
          <t>Functional</t>
        </is>
      </c>
      <c r="C83" s="8" t="n">
        <v>9</v>
      </c>
      <c r="D83" s="8" t="inlineStr">
        <is>
          <t>US-029 · Eligible customers only</t>
        </is>
      </c>
      <c r="E83" s="8" t="inlineStr">
        <is>
          <t>Pass</t>
        </is>
      </c>
      <c r="F83" s="8" t="n">
        <v>23</v>
      </c>
      <c r="G83" s="8" t="inlineStr">
        <is>
          <t>2026-10-08</t>
        </is>
      </c>
    </row>
    <row r="84">
      <c r="A84" s="8" t="inlineStr">
        <is>
          <t>test/functional/ep05-08-voice-sales-app-value.test.js</t>
        </is>
      </c>
      <c r="B84" s="8" t="inlineStr">
        <is>
          <t>Functional</t>
        </is>
      </c>
      <c r="C84" s="8" t="n">
        <v>10</v>
      </c>
      <c r="D84" s="8" t="inlineStr">
        <is>
          <t>US-029 · Contact policy applies to campaigns (target behaviour)</t>
        </is>
      </c>
      <c r="E84" s="8" t="inlineStr">
        <is>
          <t>Pass</t>
        </is>
      </c>
      <c r="F84" s="8" t="n">
        <v>12.1</v>
      </c>
      <c r="G84" s="8" t="inlineStr">
        <is>
          <t>2026-10-08</t>
        </is>
      </c>
    </row>
    <row r="85">
      <c r="A85" s="8" t="inlineStr">
        <is>
          <t>test/functional/ep05-08-voice-sales-app-value.test.js</t>
        </is>
      </c>
      <c r="B85" s="8" t="inlineStr">
        <is>
          <t>Functional</t>
        </is>
      </c>
      <c r="C85" s="8" t="n">
        <v>11</v>
      </c>
      <c r="D85" s="8" t="inlineStr">
        <is>
          <t>US-030 · Console session</t>
        </is>
      </c>
      <c r="E85" s="8" t="inlineStr">
        <is>
          <t>Pass</t>
        </is>
      </c>
      <c r="F85" s="8" t="n">
        <v>19.6</v>
      </c>
      <c r="G85" s="8" t="inlineStr">
        <is>
          <t>2026-10-08</t>
        </is>
      </c>
    </row>
    <row r="86">
      <c r="A86" s="8" t="inlineStr">
        <is>
          <t>test/functional/ep05-08-voice-sales-app-value.test.js</t>
        </is>
      </c>
      <c r="B86" s="8" t="inlineStr">
        <is>
          <t>Functional</t>
        </is>
      </c>
      <c r="C86" s="8" t="n">
        <v>12</v>
      </c>
      <c r="D86" s="8" t="inlineStr">
        <is>
          <t>US-030 · DNC customer</t>
        </is>
      </c>
      <c r="E86" s="8" t="inlineStr">
        <is>
          <t>Pass</t>
        </is>
      </c>
      <c r="F86" s="8" t="n">
        <v>13.3</v>
      </c>
      <c r="G86" s="8" t="inlineStr">
        <is>
          <t>2026-10-08</t>
        </is>
      </c>
    </row>
    <row r="87">
      <c r="A87" s="8" t="inlineStr">
        <is>
          <t>test/functional/ep05-08-voice-sales-app-value.test.js</t>
        </is>
      </c>
      <c r="B87" s="8" t="inlineStr">
        <is>
          <t>Functional</t>
        </is>
      </c>
      <c r="C87" s="8" t="n">
        <v>13</v>
      </c>
      <c r="D87" s="8" t="inlineStr">
        <is>
          <t>US-031 · Governance dashboard</t>
        </is>
      </c>
      <c r="E87" s="8" t="inlineStr">
        <is>
          <t>Pass</t>
        </is>
      </c>
      <c r="F87" s="8" t="n">
        <v>67.40000000000001</v>
      </c>
      <c r="G87" s="8" t="inlineStr">
        <is>
          <t>2026-10-08</t>
        </is>
      </c>
    </row>
    <row r="88">
      <c r="A88" s="8" t="inlineStr">
        <is>
          <t>test/functional/ep05-08-voice-sales-app-value.test.js</t>
        </is>
      </c>
      <c r="B88" s="8" t="inlineStr">
        <is>
          <t>Functional</t>
        </is>
      </c>
      <c r="C88" s="8" t="n">
        <v>14</v>
      </c>
      <c r="D88" s="8" t="inlineStr">
        <is>
          <t>US-032 · Handoff content</t>
        </is>
      </c>
      <c r="E88" s="8" t="inlineStr">
        <is>
          <t>Pass</t>
        </is>
      </c>
      <c r="F88" s="8" t="n">
        <v>76.8</v>
      </c>
      <c r="G88" s="8" t="inlineStr">
        <is>
          <t>2026-10-08</t>
        </is>
      </c>
    </row>
    <row r="89">
      <c r="A89" s="8" t="inlineStr">
        <is>
          <t>test/functional/ep05-08-voice-sales-app-value.test.js</t>
        </is>
      </c>
      <c r="B89" s="8" t="inlineStr">
        <is>
          <t>Functional</t>
        </is>
      </c>
      <c r="C89" s="8" t="n">
        <v>15</v>
      </c>
      <c r="D89" s="8" t="inlineStr">
        <is>
          <t>US-033 · Claim</t>
        </is>
      </c>
      <c r="E89" s="8" t="inlineStr">
        <is>
          <t>Pass</t>
        </is>
      </c>
      <c r="F89" s="8" t="n">
        <v>4.2</v>
      </c>
      <c r="G89" s="8" t="inlineStr">
        <is>
          <t>2026-10-08</t>
        </is>
      </c>
    </row>
    <row r="90">
      <c r="A90" s="8" t="inlineStr">
        <is>
          <t>test/functional/ep05-08-voice-sales-app-value.test.js</t>
        </is>
      </c>
      <c r="B90" s="8" t="inlineStr">
        <is>
          <t>Functional</t>
        </is>
      </c>
      <c r="C90" s="8" t="n">
        <v>16</v>
      </c>
      <c r="D90" s="8" t="inlineStr">
        <is>
          <t>US-033 · Invalid transition</t>
        </is>
      </c>
      <c r="E90" s="8" t="inlineStr">
        <is>
          <t>Pass</t>
        </is>
      </c>
      <c r="F90" s="8" t="n">
        <v>4.7</v>
      </c>
      <c r="G90" s="8" t="inlineStr">
        <is>
          <t>2026-10-08</t>
        </is>
      </c>
    </row>
    <row r="91">
      <c r="A91" s="8" t="inlineStr">
        <is>
          <t>test/functional/ep05-08-voice-sales-app-value.test.js</t>
        </is>
      </c>
      <c r="B91" s="8" t="inlineStr">
        <is>
          <t>Functional</t>
        </is>
      </c>
      <c r="C91" s="8" t="n">
        <v>17</v>
      </c>
      <c r="D91" s="8" t="inlineStr">
        <is>
          <t>US-033 · Someone else's handoff</t>
        </is>
      </c>
      <c r="E91" s="8" t="inlineStr">
        <is>
          <t>Pass</t>
        </is>
      </c>
      <c r="F91" s="8" t="n">
        <v>2.8</v>
      </c>
      <c r="G91" s="8" t="inlineStr">
        <is>
          <t>2026-10-08</t>
        </is>
      </c>
    </row>
    <row r="92">
      <c r="A92" s="8" t="inlineStr">
        <is>
          <t>test/functional/ep05-08-voice-sales-app-value.test.js</t>
        </is>
      </c>
      <c r="B92" s="8" t="inlineStr">
        <is>
          <t>Functional</t>
        </is>
      </c>
      <c r="C92" s="8" t="n">
        <v>18</v>
      </c>
      <c r="D92" s="8" t="inlineStr">
        <is>
          <t>US-034 · Assign</t>
        </is>
      </c>
      <c r="E92" s="8" t="inlineStr">
        <is>
          <t>Pass</t>
        </is>
      </c>
      <c r="F92" s="8" t="n">
        <v>51.9</v>
      </c>
      <c r="G92" s="8" t="inlineStr">
        <is>
          <t>2026-10-08</t>
        </is>
      </c>
    </row>
    <row r="93">
      <c r="A93" s="8" t="inlineStr">
        <is>
          <t>test/functional/ep05-08-voice-sales-app-value.test.js</t>
        </is>
      </c>
      <c r="B93" s="8" t="inlineStr">
        <is>
          <t>Functional</t>
        </is>
      </c>
      <c r="C93" s="8" t="n">
        <v>19</v>
      </c>
      <c r="D93" s="8" t="inlineStr">
        <is>
          <t>US-034 · Agent cannot assign</t>
        </is>
      </c>
      <c r="E93" s="8" t="inlineStr">
        <is>
          <t>Pass</t>
        </is>
      </c>
      <c r="F93" s="8" t="n">
        <v>2.4</v>
      </c>
      <c r="G93" s="8" t="inlineStr">
        <is>
          <t>2026-10-08</t>
        </is>
      </c>
    </row>
    <row r="94">
      <c r="A94" s="8" t="inlineStr">
        <is>
          <t>test/functional/ep05-08-voice-sales-app-value.test.js</t>
        </is>
      </c>
      <c r="B94" s="8" t="inlineStr">
        <is>
          <t>Functional</t>
        </is>
      </c>
      <c r="C94" s="8" t="n">
        <v>20</v>
      </c>
      <c r="D94" s="8" t="inlineStr">
        <is>
          <t>US-035 · Quote on the call, pay in app</t>
        </is>
      </c>
      <c r="E94" s="8" t="inlineStr">
        <is>
          <t>Pass</t>
        </is>
      </c>
      <c r="F94" s="8" t="n">
        <v>11</v>
      </c>
      <c r="G94" s="8" t="inlineStr">
        <is>
          <t>2026-10-08</t>
        </is>
      </c>
    </row>
    <row r="95">
      <c r="A95" s="8" t="inlineStr">
        <is>
          <t>test/functional/ep05-08-voice-sales-app-value.test.js</t>
        </is>
      </c>
      <c r="B95" s="8" t="inlineStr">
        <is>
          <t>Functional</t>
        </is>
      </c>
      <c r="C95" s="8" t="n">
        <v>21</v>
      </c>
      <c r="D95" s="8" t="inlineStr">
        <is>
          <t>US-035 · Payment is customer-confirmed (target behaviour)</t>
        </is>
      </c>
      <c r="E95" s="8" t="inlineStr">
        <is>
          <t>Pass</t>
        </is>
      </c>
      <c r="F95" s="8" t="n">
        <v>8.6</v>
      </c>
      <c r="G95" s="8" t="inlineStr">
        <is>
          <t>2026-10-08</t>
        </is>
      </c>
    </row>
    <row r="96">
      <c r="A96" s="8" t="inlineStr">
        <is>
          <t>test/functional/ep05-08-voice-sales-app-value.test.js</t>
        </is>
      </c>
      <c r="B96" s="8" t="inlineStr">
        <is>
          <t>Functional</t>
        </is>
      </c>
      <c r="C96" s="8" t="n">
        <v>22</v>
      </c>
      <c r="D96" s="8" t="inlineStr">
        <is>
          <t>US-036 · Signed link</t>
        </is>
      </c>
      <c r="E96" s="8" t="inlineStr">
        <is>
          <t>Pass</t>
        </is>
      </c>
      <c r="F96" s="8" t="n">
        <v>8.6</v>
      </c>
      <c r="G96" s="8" t="inlineStr">
        <is>
          <t>2026-10-08</t>
        </is>
      </c>
    </row>
    <row r="97">
      <c r="A97" s="8" t="inlineStr">
        <is>
          <t>test/functional/ep05-08-voice-sales-app-value.test.js</t>
        </is>
      </c>
      <c r="B97" s="8" t="inlineStr">
        <is>
          <t>Functional</t>
        </is>
      </c>
      <c r="C97" s="8" t="n">
        <v>23</v>
      </c>
      <c r="D97" s="8" t="inlineStr">
        <is>
          <t>US-036 · Tampered link</t>
        </is>
      </c>
      <c r="E97" s="8" t="inlineStr">
        <is>
          <t>Pass</t>
        </is>
      </c>
      <c r="F97" s="8" t="n">
        <v>21.1</v>
      </c>
      <c r="G97" s="8" t="inlineStr">
        <is>
          <t>2026-10-08</t>
        </is>
      </c>
    </row>
    <row r="98">
      <c r="A98" s="8" t="inlineStr">
        <is>
          <t>test/functional/ep05-08-voice-sales-app-value.test.js</t>
        </is>
      </c>
      <c r="B98" s="8" t="inlineStr">
        <is>
          <t>Functional</t>
        </is>
      </c>
      <c r="C98" s="8" t="n">
        <v>24</v>
      </c>
      <c r="D98" s="8" t="inlineStr">
        <is>
          <t>US-037 · Low confidence asks for confirmation</t>
        </is>
      </c>
      <c r="E98" s="8" t="inlineStr">
        <is>
          <t>Pass</t>
        </is>
      </c>
      <c r="F98" s="8" t="n">
        <v>12.8</v>
      </c>
      <c r="G98" s="8" t="inlineStr">
        <is>
          <t>2026-10-08</t>
        </is>
      </c>
    </row>
    <row r="99">
      <c r="A99" s="8" t="inlineStr">
        <is>
          <t>test/functional/ep05-08-voice-sales-app-value.test.js</t>
        </is>
      </c>
      <c r="B99" s="8" t="inlineStr">
        <is>
          <t>Functional</t>
        </is>
      </c>
      <c r="C99" s="8" t="n">
        <v>25</v>
      </c>
      <c r="D99" s="8" t="inlineStr">
        <is>
          <t>US-038 · Declare expiry</t>
        </is>
      </c>
      <c r="E99" s="8" t="inlineStr">
        <is>
          <t>Pass</t>
        </is>
      </c>
      <c r="F99" s="8" t="n">
        <v>12.8</v>
      </c>
      <c r="G99" s="8" t="inlineStr">
        <is>
          <t>2026-10-08</t>
        </is>
      </c>
    </row>
    <row r="100">
      <c r="A100" s="8" t="inlineStr">
        <is>
          <t>test/functional/ep05-08-voice-sales-app-value.test.js</t>
        </is>
      </c>
      <c r="B100" s="8" t="inlineStr">
        <is>
          <t>Functional</t>
        </is>
      </c>
      <c r="C100" s="8" t="n">
        <v>26</v>
      </c>
      <c r="D100" s="8" t="inlineStr">
        <is>
          <t>US-039 · Happy path</t>
        </is>
      </c>
      <c r="E100" s="8" t="inlineStr">
        <is>
          <t>Pass</t>
        </is>
      </c>
      <c r="F100" s="8" t="n">
        <v>20.6</v>
      </c>
      <c r="G100" s="8" t="inlineStr">
        <is>
          <t>2026-10-08</t>
        </is>
      </c>
    </row>
    <row r="101">
      <c r="A101" s="8" t="inlineStr">
        <is>
          <t>test/functional/ep05-08-voice-sales-app-value.test.js</t>
        </is>
      </c>
      <c r="B101" s="8" t="inlineStr">
        <is>
          <t>Functional</t>
        </is>
      </c>
      <c r="C101" s="8" t="n">
        <v>27</v>
      </c>
      <c r="D101" s="8" t="inlineStr">
        <is>
          <t>US-039 · Double tap</t>
        </is>
      </c>
      <c r="E101" s="8" t="inlineStr">
        <is>
          <t>Pass</t>
        </is>
      </c>
      <c r="F101" s="8" t="n">
        <v>2</v>
      </c>
      <c r="G101" s="8" t="inlineStr">
        <is>
          <t>2026-10-08</t>
        </is>
      </c>
    </row>
    <row r="102">
      <c r="A102" s="8" t="inlineStr">
        <is>
          <t>test/functional/ep05-08-voice-sales-app-value.test.js</t>
        </is>
      </c>
      <c r="B102" s="8" t="inlineStr">
        <is>
          <t>Functional</t>
        </is>
      </c>
      <c r="C102" s="8" t="n">
        <v>28</v>
      </c>
      <c r="D102" s="8" t="inlineStr">
        <is>
          <t>US-039 · Expired quote</t>
        </is>
      </c>
      <c r="E102" s="8" t="inlineStr">
        <is>
          <t>Pass</t>
        </is>
      </c>
      <c r="F102" s="8" t="n">
        <v>12.9</v>
      </c>
      <c r="G102" s="8" t="inlineStr">
        <is>
          <t>2026-10-08</t>
        </is>
      </c>
    </row>
    <row r="103">
      <c r="A103" s="8" t="inlineStr">
        <is>
          <t>test/functional/ep05-08-voice-sales-app-value.test.js</t>
        </is>
      </c>
      <c r="B103" s="8" t="inlineStr">
        <is>
          <t>Functional</t>
        </is>
      </c>
      <c r="C103" s="8" t="n">
        <v>29</v>
      </c>
      <c r="D103" s="8" t="inlineStr">
        <is>
          <t>US-040 · Verification without PII</t>
        </is>
      </c>
      <c r="E103" s="8" t="inlineStr">
        <is>
          <t>Pass</t>
        </is>
      </c>
      <c r="F103" s="8" t="n">
        <v>2</v>
      </c>
      <c r="G103" s="8" t="inlineStr">
        <is>
          <t>2026-10-08</t>
        </is>
      </c>
    </row>
    <row r="104">
      <c r="A104" s="8" t="inlineStr">
        <is>
          <t>test/functional/ep05-08-voice-sales-app-value.test.js</t>
        </is>
      </c>
      <c r="B104" s="8" t="inlineStr">
        <is>
          <t>Functional</t>
        </is>
      </c>
      <c r="C104" s="8" t="n">
        <v>30</v>
      </c>
      <c r="D104" s="8" t="inlineStr">
        <is>
          <t>US-040 · Unknown certificate</t>
        </is>
      </c>
      <c r="E104" s="8" t="inlineStr">
        <is>
          <t>Pass</t>
        </is>
      </c>
      <c r="F104" s="8" t="n">
        <v>1.4</v>
      </c>
      <c r="G104" s="8" t="inlineStr">
        <is>
          <t>2026-10-08</t>
        </is>
      </c>
    </row>
    <row r="105">
      <c r="A105" s="8" t="inlineStr">
        <is>
          <t>test/functional/ep05-08-voice-sales-app-value.test.js</t>
        </is>
      </c>
      <c r="B105" s="8" t="inlineStr">
        <is>
          <t>Functional</t>
        </is>
      </c>
      <c r="C105" s="8" t="n">
        <v>31</v>
      </c>
      <c r="D105" s="8" t="inlineStr">
        <is>
          <t>US-041 · Multi-year</t>
        </is>
      </c>
      <c r="E105" s="8" t="inlineStr">
        <is>
          <t>Pass</t>
        </is>
      </c>
      <c r="F105" s="8" t="n">
        <v>12</v>
      </c>
      <c r="G105" s="8" t="inlineStr">
        <is>
          <t>2026-10-08</t>
        </is>
      </c>
    </row>
    <row r="106">
      <c r="A106" s="8" t="inlineStr">
        <is>
          <t>test/functional/ep05-08-voice-sales-app-value.test.js</t>
        </is>
      </c>
      <c r="B106" s="8" t="inlineStr">
        <is>
          <t>Functional</t>
        </is>
      </c>
      <c r="C106" s="8" t="n">
        <v>32</v>
      </c>
      <c r="D106" s="8" t="inlineStr">
        <is>
          <t>US-041 · Out of range</t>
        </is>
      </c>
      <c r="E106" s="8" t="inlineStr">
        <is>
          <t>Pass</t>
        </is>
      </c>
      <c r="F106" s="8" t="n">
        <v>17.3</v>
      </c>
      <c r="G106" s="8" t="inlineStr">
        <is>
          <t>2026-10-08</t>
        </is>
      </c>
    </row>
    <row r="107">
      <c r="A107" s="8" t="inlineStr">
        <is>
          <t>test/functional/ep05-08-voice-sales-app-value.test.js</t>
        </is>
      </c>
      <c r="B107" s="8" t="inlineStr">
        <is>
          <t>Functional</t>
        </is>
      </c>
      <c r="C107" s="8" t="n">
        <v>33</v>
      </c>
      <c r="D107" s="8" t="inlineStr">
        <is>
          <t>US-042 · Issuance failure after payment</t>
        </is>
      </c>
      <c r="E107" s="8" t="inlineStr">
        <is>
          <t>Pass</t>
        </is>
      </c>
      <c r="F107" s="8" t="n">
        <v>13.7</v>
      </c>
      <c r="G107" s="8" t="inlineStr">
        <is>
          <t>2026-10-08</t>
        </is>
      </c>
    </row>
    <row r="108">
      <c r="A108" s="8" t="inlineStr">
        <is>
          <t>test/functional/ep05-08-voice-sales-app-value.test.js</t>
        </is>
      </c>
      <c r="B108" s="8" t="inlineStr">
        <is>
          <t>Functional</t>
        </is>
      </c>
      <c r="C108" s="8" t="n">
        <v>34</v>
      </c>
      <c r="D108" s="8" t="inlineStr">
        <is>
          <t>US-043 · Personalised ranking</t>
        </is>
      </c>
      <c r="E108" s="8" t="inlineStr">
        <is>
          <t>Pass</t>
        </is>
      </c>
      <c r="F108" s="8" t="n">
        <v>2</v>
      </c>
      <c r="G108" s="8" t="inlineStr">
        <is>
          <t>2026-10-08</t>
        </is>
      </c>
    </row>
    <row r="109">
      <c r="A109" s="8" t="inlineStr">
        <is>
          <t>test/functional/ep05-08-voice-sales-app-value.test.js</t>
        </is>
      </c>
      <c r="B109" s="8" t="inlineStr">
        <is>
          <t>Functional</t>
        </is>
      </c>
      <c r="C109" s="8" t="n">
        <v>35</v>
      </c>
      <c r="D109" s="8" t="inlineStr">
        <is>
          <t>US-043 · Legal gating</t>
        </is>
      </c>
      <c r="E109" s="8" t="inlineStr">
        <is>
          <t>Pass</t>
        </is>
      </c>
      <c r="F109" s="8" t="n">
        <v>0.9</v>
      </c>
      <c r="G109" s="8" t="inlineStr">
        <is>
          <t>2026-10-08</t>
        </is>
      </c>
    </row>
    <row r="110">
      <c r="A110" s="8" t="inlineStr">
        <is>
          <t>test/functional/ep05-08-voice-sales-app-value.test.js</t>
        </is>
      </c>
      <c r="B110" s="8" t="inlineStr">
        <is>
          <t>Functional</t>
        </is>
      </c>
      <c r="C110" s="8" t="n">
        <v>36</v>
      </c>
      <c r="D110" s="8" t="inlineStr">
        <is>
          <t>US-044 · PA add-on</t>
        </is>
      </c>
      <c r="E110" s="8" t="inlineStr">
        <is>
          <t>Pass</t>
        </is>
      </c>
      <c r="F110" s="8" t="n">
        <v>11.5</v>
      </c>
      <c r="G110" s="8" t="inlineStr">
        <is>
          <t>2026-10-08</t>
        </is>
      </c>
    </row>
    <row r="111">
      <c r="A111" s="8" t="inlineStr">
        <is>
          <t>test/functional/ep05-08-voice-sales-app-value.test.js</t>
        </is>
      </c>
      <c r="B111" s="8" t="inlineStr">
        <is>
          <t>Functional</t>
        </is>
      </c>
      <c r="C111" s="8" t="n">
        <v>37</v>
      </c>
      <c r="D111" s="8" t="inlineStr">
        <is>
          <t>US-045 · PD rating</t>
        </is>
      </c>
      <c r="E111" s="8" t="inlineStr">
        <is>
          <t>Pass</t>
        </is>
      </c>
      <c r="F111" s="8" t="n">
        <v>9.6</v>
      </c>
      <c r="G111" s="8" t="inlineStr">
        <is>
          <t>2026-10-08</t>
        </is>
      </c>
    </row>
    <row r="112">
      <c r="A112" s="8" t="inlineStr">
        <is>
          <t>test/functional/ep05-08-voice-sales-app-value.test.js</t>
        </is>
      </c>
      <c r="B112" s="8" t="inlineStr">
        <is>
          <t>Functional</t>
        </is>
      </c>
      <c r="C112" s="8" t="n">
        <v>38</v>
      </c>
      <c r="D112" s="8" t="inlineStr">
        <is>
          <t>US-045 · Referral above the online limit</t>
        </is>
      </c>
      <c r="E112" s="8" t="inlineStr">
        <is>
          <t>Pass</t>
        </is>
      </c>
      <c r="F112" s="8" t="n">
        <v>9.800000000000001</v>
      </c>
      <c r="G112" s="8" t="inlineStr">
        <is>
          <t>2026-10-08</t>
        </is>
      </c>
    </row>
    <row r="113">
      <c r="A113" s="8" t="inlineStr">
        <is>
          <t>test/functional/ep05-08-voice-sales-app-value.test.js</t>
        </is>
      </c>
      <c r="B113" s="8" t="inlineStr">
        <is>
          <t>Functional</t>
        </is>
      </c>
      <c r="C113" s="8" t="n">
        <v>39</v>
      </c>
      <c r="D113" s="8" t="inlineStr">
        <is>
          <t>US-046 · Cross-sell scheduled</t>
        </is>
      </c>
      <c r="E113" s="8" t="inlineStr">
        <is>
          <t>Pass</t>
        </is>
      </c>
      <c r="F113" s="8" t="n">
        <v>1.2</v>
      </c>
      <c r="G113" s="8" t="inlineStr">
        <is>
          <t>2026-10-08</t>
        </is>
      </c>
    </row>
    <row r="114">
      <c r="A114" s="8" t="inlineStr">
        <is>
          <t>test/functional/ep05-08-voice-sales-app-value.test.js</t>
        </is>
      </c>
      <c r="B114" s="8" t="inlineStr">
        <is>
          <t>Functional</t>
        </is>
      </c>
      <c r="C114" s="8" t="n">
        <v>40</v>
      </c>
      <c r="D114" s="8" t="inlineStr">
        <is>
          <t>US-046 · Already bought add-ons or no consent</t>
        </is>
      </c>
      <c r="E114" s="8" t="inlineStr">
        <is>
          <t>Pass</t>
        </is>
      </c>
      <c r="F114" s="8" t="n">
        <v>20.3</v>
      </c>
      <c r="G114" s="8" t="inlineStr">
        <is>
          <t>2026-10-08</t>
        </is>
      </c>
    </row>
    <row r="115">
      <c r="A115" s="8" t="inlineStr">
        <is>
          <t>test/functional/ep05-08-voice-sales-app-value.test.js</t>
        </is>
      </c>
      <c r="B115" s="8" t="inlineStr">
        <is>
          <t>Functional</t>
        </is>
      </c>
      <c r="C115" s="8" t="n">
        <v>41</v>
      </c>
      <c r="D115" s="8" t="inlineStr">
        <is>
          <t>US-047 · Referral disabled</t>
        </is>
      </c>
      <c r="E115" s="8" t="inlineStr">
        <is>
          <t>Pass</t>
        </is>
      </c>
      <c r="F115" s="8" t="n">
        <v>0.3</v>
      </c>
      <c r="G115" s="8" t="inlineStr">
        <is>
          <t>2026-10-08</t>
        </is>
      </c>
    </row>
    <row r="116">
      <c r="A116" s="8" t="inlineStr">
        <is>
          <t>test/functional/ep05-08-voice-sales-app-value.test.js</t>
        </is>
      </c>
      <c r="B116" s="8" t="inlineStr">
        <is>
          <t>Functional</t>
        </is>
      </c>
      <c r="C116" s="8" t="n">
        <v>42</v>
      </c>
      <c r="D116" s="8" t="inlineStr">
        <is>
          <t>US-048 · Confirm-before-debit</t>
        </is>
      </c>
      <c r="E116" s="8" t="inlineStr">
        <is>
          <t>Pass</t>
        </is>
      </c>
      <c r="F116" s="8" t="n">
        <v>21.4</v>
      </c>
      <c r="G116" s="8" t="inlineStr">
        <is>
          <t>2026-10-08</t>
        </is>
      </c>
    </row>
    <row r="117">
      <c r="A117" s="8" t="inlineStr">
        <is>
          <t>test/functional/ep09-15-partners-claims-privacy-governance.test.js</t>
        </is>
      </c>
      <c r="B117" s="8" t="inlineStr">
        <is>
          <t>Functional</t>
        </is>
      </c>
      <c r="C117" s="8" t="n">
        <v>1</v>
      </c>
      <c r="D117" s="8" t="inlineStr">
        <is>
          <t>US-049 · Onboard and issue key</t>
        </is>
      </c>
      <c r="E117" s="8" t="inlineStr">
        <is>
          <t>Pass</t>
        </is>
      </c>
      <c r="F117" s="8" t="n">
        <v>1314.4</v>
      </c>
      <c r="G117" s="8" t="inlineStr">
        <is>
          <t>2026-10-08</t>
        </is>
      </c>
    </row>
    <row r="118">
      <c r="A118" s="8" t="inlineStr">
        <is>
          <t>test/functional/ep09-15-partners-claims-privacy-governance.test.js</t>
        </is>
      </c>
      <c r="B118" s="8" t="inlineStr">
        <is>
          <t>Functional</t>
        </is>
      </c>
      <c r="C118" s="8" t="n">
        <v>2</v>
      </c>
      <c r="D118" s="8" t="inlineStr">
        <is>
          <t>US-050 · Unknown plate becomes a new profile</t>
        </is>
      </c>
      <c r="E118" s="8" t="inlineStr">
        <is>
          <t>Pass</t>
        </is>
      </c>
      <c r="F118" s="8" t="n">
        <v>8.300000000000001</v>
      </c>
      <c r="G118" s="8" t="inlineStr">
        <is>
          <t>2026-10-08</t>
        </is>
      </c>
    </row>
    <row r="119">
      <c r="A119" s="8" t="inlineStr">
        <is>
          <t>test/functional/ep09-15-partners-claims-privacy-governance.test.js</t>
        </is>
      </c>
      <c r="B119" s="8" t="inlineStr">
        <is>
          <t>Functional</t>
        </is>
      </c>
      <c r="C119" s="8" t="n">
        <v>3</v>
      </c>
      <c r="D119" s="8" t="inlineStr">
        <is>
          <t>US-050 · Product not sold on partner channel</t>
        </is>
      </c>
      <c r="E119" s="8" t="inlineStr">
        <is>
          <t>Pass</t>
        </is>
      </c>
      <c r="F119" s="8" t="n">
        <v>4.4</v>
      </c>
      <c r="G119" s="8" t="inlineStr">
        <is>
          <t>2026-10-08</t>
        </is>
      </c>
    </row>
    <row r="120">
      <c r="A120" s="8" t="inlineStr">
        <is>
          <t>test/functional/ep09-15-partners-claims-privacy-governance.test.js</t>
        </is>
      </c>
      <c r="B120" s="8" t="inlineStr">
        <is>
          <t>Functional</t>
        </is>
      </c>
      <c r="C120" s="8" t="n">
        <v>4</v>
      </c>
      <c r="D120" s="8" t="inlineStr">
        <is>
          <t>US-051 · Own quote</t>
        </is>
      </c>
      <c r="E120" s="8" t="inlineStr">
        <is>
          <t>Pass</t>
        </is>
      </c>
      <c r="F120" s="8" t="n">
        <v>8.199999999999999</v>
      </c>
      <c r="G120" s="8" t="inlineStr">
        <is>
          <t>2026-10-08</t>
        </is>
      </c>
    </row>
    <row r="121">
      <c r="A121" s="8" t="inlineStr">
        <is>
          <t>test/functional/ep09-15-partners-claims-privacy-governance.test.js</t>
        </is>
      </c>
      <c r="B121" s="8" t="inlineStr">
        <is>
          <t>Functional</t>
        </is>
      </c>
      <c r="C121" s="8" t="n">
        <v>5</v>
      </c>
      <c r="D121" s="8" t="inlineStr">
        <is>
          <t>US-051 · Another partner's quote</t>
        </is>
      </c>
      <c r="E121" s="8" t="inlineStr">
        <is>
          <t>Pass</t>
        </is>
      </c>
      <c r="F121" s="8" t="n">
        <v>8.199999999999999</v>
      </c>
      <c r="G121" s="8" t="inlineStr">
        <is>
          <t>2026-10-08</t>
        </is>
      </c>
    </row>
    <row r="122">
      <c r="A122" s="8" t="inlineStr">
        <is>
          <t>test/functional/ep09-15-partners-claims-privacy-governance.test.js</t>
        </is>
      </c>
      <c r="B122" s="8" t="inlineStr">
        <is>
          <t>Functional</t>
        </is>
      </c>
      <c r="C122" s="8" t="n">
        <v>6</v>
      </c>
      <c r="D122" s="8" t="inlineStr">
        <is>
          <t>US-052 · Statement</t>
        </is>
      </c>
      <c r="E122" s="8" t="inlineStr">
        <is>
          <t>Pass</t>
        </is>
      </c>
      <c r="F122" s="8" t="n">
        <v>5</v>
      </c>
      <c r="G122" s="8" t="inlineStr">
        <is>
          <t>2026-10-08</t>
        </is>
      </c>
    </row>
    <row r="123">
      <c r="A123" s="8" t="inlineStr">
        <is>
          <t>test/functional/ep09-15-partners-claims-privacy-governance.test.js</t>
        </is>
      </c>
      <c r="B123" s="8" t="inlineStr">
        <is>
          <t>Functional</t>
        </is>
      </c>
      <c r="C123" s="8" t="n">
        <v>7</v>
      </c>
      <c r="D123" s="8" t="inlineStr">
        <is>
          <t>US-052 · Cap enforced</t>
        </is>
      </c>
      <c r="E123" s="8" t="inlineStr">
        <is>
          <t>Pass</t>
        </is>
      </c>
      <c r="F123" s="8" t="n">
        <v>53.4</v>
      </c>
      <c r="G123" s="8" t="inlineStr">
        <is>
          <t>2026-10-08</t>
        </is>
      </c>
    </row>
    <row r="124">
      <c r="A124" s="8" t="inlineStr">
        <is>
          <t>test/functional/ep09-15-partners-claims-privacy-governance.test.js</t>
        </is>
      </c>
      <c r="B124" s="8" t="inlineStr">
        <is>
          <t>Functional</t>
        </is>
      </c>
      <c r="C124" s="8" t="n">
        <v>8</v>
      </c>
      <c r="D124" s="8" t="inlineStr">
        <is>
          <t>US-053 · Suspension blocks API access</t>
        </is>
      </c>
      <c r="E124" s="8" t="inlineStr">
        <is>
          <t>Pass</t>
        </is>
      </c>
      <c r="F124" s="8" t="n">
        <v>4.8</v>
      </c>
      <c r="G124" s="8" t="inlineStr">
        <is>
          <t>2026-10-08</t>
        </is>
      </c>
    </row>
    <row r="125">
      <c r="A125" s="8" t="inlineStr">
        <is>
          <t>test/functional/ep09-15-partners-claims-privacy-governance.test.js</t>
        </is>
      </c>
      <c r="B125" s="8" t="inlineStr">
        <is>
          <t>Functional</t>
        </is>
      </c>
      <c r="C125" s="8" t="n">
        <v>9</v>
      </c>
      <c r="D125" s="8" t="inlineStr">
        <is>
          <t>US-054 · Fleet routing</t>
        </is>
      </c>
      <c r="E125" s="8" t="inlineStr">
        <is>
          <t>Pass</t>
        </is>
      </c>
      <c r="F125" s="8" t="n">
        <v>11.9</v>
      </c>
      <c r="G125" s="8" t="inlineStr">
        <is>
          <t>2026-10-08</t>
        </is>
      </c>
    </row>
    <row r="126">
      <c r="A126" s="8" t="inlineStr">
        <is>
          <t>test/functional/ep09-15-partners-claims-privacy-governance.test.js</t>
        </is>
      </c>
      <c r="B126" s="8" t="inlineStr">
        <is>
          <t>Functional</t>
        </is>
      </c>
      <c r="C126" s="8" t="n">
        <v>10</v>
      </c>
      <c r="D126" s="8" t="inlineStr">
        <is>
          <t>US-054 · No B2C journeys for fleet (target behaviour)</t>
        </is>
      </c>
      <c r="E126" s="8" t="inlineStr">
        <is>
          <t>Pass</t>
        </is>
      </c>
      <c r="F126" s="8" t="n">
        <v>2.5</v>
      </c>
      <c r="G126" s="8" t="inlineStr">
        <is>
          <t>2026-10-08</t>
        </is>
      </c>
    </row>
    <row r="127">
      <c r="A127" s="8" t="inlineStr">
        <is>
          <t>test/functional/ep09-15-partners-claims-privacy-governance.test.js</t>
        </is>
      </c>
      <c r="B127" s="8" t="inlineStr">
        <is>
          <t>Functional</t>
        </is>
      </c>
      <c r="C127" s="8" t="n">
        <v>11</v>
      </c>
      <c r="D127" s="8" t="inlineStr">
        <is>
          <t>US-055 · Fleet view — consolidated fleet dashboard is on the roadmap (benefit marked available=false)</t>
        </is>
      </c>
      <c r="E127" s="8" t="inlineStr">
        <is>
          <t>Not Run</t>
        </is>
      </c>
      <c r="F127" s="8" t="n">
        <v>0.1</v>
      </c>
      <c r="G127" s="8" t="inlineStr">
        <is>
          <t>2026-10-08</t>
        </is>
      </c>
    </row>
    <row r="128">
      <c r="A128" s="8" t="inlineStr">
        <is>
          <t>test/functional/ep09-15-partners-claims-privacy-governance.test.js</t>
        </is>
      </c>
      <c r="B128" s="8" t="inlineStr">
        <is>
          <t>Functional</t>
        </is>
      </c>
      <c r="C128" s="8" t="n">
        <v>12</v>
      </c>
      <c r="D128" s="8" t="inlineStr">
        <is>
          <t>US-056 · Valid FNOL</t>
        </is>
      </c>
      <c r="E128" s="8" t="inlineStr">
        <is>
          <t>Pass</t>
        </is>
      </c>
      <c r="F128" s="8" t="n">
        <v>4.9</v>
      </c>
      <c r="G128" s="8" t="inlineStr">
        <is>
          <t>2026-10-08</t>
        </is>
      </c>
    </row>
    <row r="129">
      <c r="A129" s="8" t="inlineStr">
        <is>
          <t>test/functional/ep09-15-partners-claims-privacy-governance.test.js</t>
        </is>
      </c>
      <c r="B129" s="8" t="inlineStr">
        <is>
          <t>Functional</t>
        </is>
      </c>
      <c r="C129" s="8" t="n">
        <v>13</v>
      </c>
      <c r="D129" s="8" t="inlineStr">
        <is>
          <t>US-056 · Outside policy period</t>
        </is>
      </c>
      <c r="E129" s="8" t="inlineStr">
        <is>
          <t>Pass</t>
        </is>
      </c>
      <c r="F129" s="8" t="n">
        <v>2.5</v>
      </c>
      <c r="G129" s="8" t="inlineStr">
        <is>
          <t>2026-10-08</t>
        </is>
      </c>
    </row>
    <row r="130">
      <c r="A130" s="8" t="inlineStr">
        <is>
          <t>test/functional/ep09-15-partners-claims-privacy-governance.test.js</t>
        </is>
      </c>
      <c r="B130" s="8" t="inlineStr">
        <is>
          <t>Functional</t>
        </is>
      </c>
      <c r="C130" s="8" t="n">
        <v>14</v>
      </c>
      <c r="D130" s="8" t="inlineStr">
        <is>
          <t>US-056 · Not my policy</t>
        </is>
      </c>
      <c r="E130" s="8" t="inlineStr">
        <is>
          <t>Pass</t>
        </is>
      </c>
      <c r="F130" s="8" t="n">
        <v>26.4</v>
      </c>
      <c r="G130" s="8" t="inlineStr">
        <is>
          <t>2026-10-08</t>
        </is>
      </c>
    </row>
    <row r="131">
      <c r="A131" s="8" t="inlineStr">
        <is>
          <t>test/functional/ep09-15-partners-claims-privacy-governance.test.js</t>
        </is>
      </c>
      <c r="B131" s="8" t="inlineStr">
        <is>
          <t>Functional</t>
        </is>
      </c>
      <c r="C131" s="8" t="n">
        <v>15</v>
      </c>
      <c r="D131" s="8" t="inlineStr">
        <is>
          <t>US-057 · Valid transition</t>
        </is>
      </c>
      <c r="E131" s="8" t="inlineStr">
        <is>
          <t>Pass</t>
        </is>
      </c>
      <c r="F131" s="8" t="n">
        <v>69.90000000000001</v>
      </c>
      <c r="G131" s="8" t="inlineStr">
        <is>
          <t>2026-10-08</t>
        </is>
      </c>
    </row>
    <row r="132">
      <c r="A132" s="8" t="inlineStr">
        <is>
          <t>test/functional/ep09-15-partners-claims-privacy-governance.test.js</t>
        </is>
      </c>
      <c r="B132" s="8" t="inlineStr">
        <is>
          <t>Functional</t>
        </is>
      </c>
      <c r="C132" s="8" t="n">
        <v>16</v>
      </c>
      <c r="D132" s="8" t="inlineStr">
        <is>
          <t>US-057 · Skipping steps</t>
        </is>
      </c>
      <c r="E132" s="8" t="inlineStr">
        <is>
          <t>Pass</t>
        </is>
      </c>
      <c r="F132" s="8" t="n">
        <v>2.5</v>
      </c>
      <c r="G132" s="8" t="inlineStr">
        <is>
          <t>2026-10-08</t>
        </is>
      </c>
    </row>
    <row r="133">
      <c r="A133" s="8" t="inlineStr">
        <is>
          <t>test/functional/ep09-15-partners-claims-privacy-governance.test.js</t>
        </is>
      </c>
      <c r="B133" s="8" t="inlineStr">
        <is>
          <t>Functional</t>
        </is>
      </c>
      <c r="C133" s="8" t="n">
        <v>17</v>
      </c>
      <c r="D133" s="8" t="inlineStr">
        <is>
          <t>US-058 · My claims only</t>
        </is>
      </c>
      <c r="E133" s="8" t="inlineStr">
        <is>
          <t>Pass</t>
        </is>
      </c>
      <c r="F133" s="8" t="n">
        <v>2.7</v>
      </c>
      <c r="G133" s="8" t="inlineStr">
        <is>
          <t>2026-10-08</t>
        </is>
      </c>
    </row>
    <row r="134">
      <c r="A134" s="8" t="inlineStr">
        <is>
          <t>test/functional/ep09-15-partners-claims-privacy-governance.test.js</t>
        </is>
      </c>
      <c r="B134" s="8" t="inlineStr">
        <is>
          <t>Functional</t>
        </is>
      </c>
      <c r="C134" s="8" t="n">
        <v>18</v>
      </c>
      <c r="D134" s="8" t="inlineStr">
        <is>
          <t>US-059 · Withdraw call consent</t>
        </is>
      </c>
      <c r="E134" s="8" t="inlineStr">
        <is>
          <t>Pass</t>
        </is>
      </c>
      <c r="F134" s="8" t="n">
        <v>21</v>
      </c>
      <c r="G134" s="8" t="inlineStr">
        <is>
          <t>2026-10-08</t>
        </is>
      </c>
    </row>
    <row r="135">
      <c r="A135" s="8" t="inlineStr">
        <is>
          <t>test/functional/ep09-15-partners-claims-privacy-governance.test.js</t>
        </is>
      </c>
      <c r="B135" s="8" t="inlineStr">
        <is>
          <t>Functional</t>
        </is>
      </c>
      <c r="C135" s="8" t="n">
        <v>19</v>
      </c>
      <c r="D135" s="8" t="inlineStr">
        <is>
          <t>US-060 · Self-service export</t>
        </is>
      </c>
      <c r="E135" s="8" t="inlineStr">
        <is>
          <t>Pass</t>
        </is>
      </c>
      <c r="F135" s="8" t="n">
        <v>6.9</v>
      </c>
      <c r="G135" s="8" t="inlineStr">
        <is>
          <t>2026-10-08</t>
        </is>
      </c>
    </row>
    <row r="136">
      <c r="A136" s="8" t="inlineStr">
        <is>
          <t>test/functional/ep09-15-partners-claims-privacy-governance.test.js</t>
        </is>
      </c>
      <c r="B136" s="8" t="inlineStr">
        <is>
          <t>Functional</t>
        </is>
      </c>
      <c r="C136" s="8" t="n">
        <v>20</v>
      </c>
      <c r="D136" s="8" t="inlineStr">
        <is>
          <t>US-061 · Active policy blocks erasure</t>
        </is>
      </c>
      <c r="E136" s="8" t="inlineStr">
        <is>
          <t>Pass</t>
        </is>
      </c>
      <c r="F136" s="8" t="n">
        <v>65.40000000000001</v>
      </c>
      <c r="G136" s="8" t="inlineStr">
        <is>
          <t>2026-10-08</t>
        </is>
      </c>
    </row>
    <row r="137">
      <c r="A137" s="8" t="inlineStr">
        <is>
          <t>test/functional/ep09-15-partners-claims-privacy-governance.test.js</t>
        </is>
      </c>
      <c r="B137" s="8" t="inlineStr">
        <is>
          <t>Functional</t>
        </is>
      </c>
      <c r="C137" s="8" t="n">
        <v>21</v>
      </c>
      <c r="D137" s="8" t="inlineStr">
        <is>
          <t>US-061 · Erasure</t>
        </is>
      </c>
      <c r="E137" s="8" t="inlineStr">
        <is>
          <t>Pass</t>
        </is>
      </c>
      <c r="F137" s="8" t="n">
        <v>11.1</v>
      </c>
      <c r="G137" s="8" t="inlineStr">
        <is>
          <t>2026-10-08</t>
        </is>
      </c>
    </row>
    <row r="138">
      <c r="A138" s="8" t="inlineStr">
        <is>
          <t>test/functional/ep09-15-partners-claims-privacy-governance.test.js</t>
        </is>
      </c>
      <c r="B138" s="8" t="inlineStr">
        <is>
          <t>Functional</t>
        </is>
      </c>
      <c r="C138" s="8" t="n">
        <v>22</v>
      </c>
      <c r="D138" s="8" t="inlineStr">
        <is>
          <t>US-062 · Masking</t>
        </is>
      </c>
      <c r="E138" s="8" t="inlineStr">
        <is>
          <t>Pass</t>
        </is>
      </c>
      <c r="F138" s="8" t="n">
        <v>68.90000000000001</v>
      </c>
      <c r="G138" s="8" t="inlineStr">
        <is>
          <t>2026-10-08</t>
        </is>
      </c>
    </row>
    <row r="139">
      <c r="A139" s="8" t="inlineStr">
        <is>
          <t>test/functional/ep09-15-partners-claims-privacy-governance.test.js</t>
        </is>
      </c>
      <c r="B139" s="8" t="inlineStr">
        <is>
          <t>Functional</t>
        </is>
      </c>
      <c r="C139" s="8" t="n">
        <v>23</v>
      </c>
      <c r="D139" s="8" t="inlineStr">
        <is>
          <t>US-063 · Invalid weights rejected</t>
        </is>
      </c>
      <c r="E139" s="8" t="inlineStr">
        <is>
          <t>Pass</t>
        </is>
      </c>
      <c r="F139" s="8" t="n">
        <v>3.5</v>
      </c>
      <c r="G139" s="8" t="inlineStr">
        <is>
          <t>2026-10-08</t>
        </is>
      </c>
    </row>
    <row r="140">
      <c r="A140" s="8" t="inlineStr">
        <is>
          <t>test/functional/ep09-15-partners-claims-privacy-governance.test.js</t>
        </is>
      </c>
      <c r="B140" s="8" t="inlineStr">
        <is>
          <t>Functional</t>
        </is>
      </c>
      <c r="C140" s="8" t="n">
        <v>24</v>
      </c>
      <c r="D140" s="8" t="inlineStr">
        <is>
          <t>US-063 · Valid draft</t>
        </is>
      </c>
      <c r="E140" s="8" t="inlineStr">
        <is>
          <t>Pass</t>
        </is>
      </c>
      <c r="F140" s="8" t="n">
        <v>3.1</v>
      </c>
      <c r="G140" s="8" t="inlineStr">
        <is>
          <t>2026-10-08</t>
        </is>
      </c>
    </row>
    <row r="141">
      <c r="A141" s="8" t="inlineStr">
        <is>
          <t>test/functional/ep09-15-partners-claims-privacy-governance.test.js</t>
        </is>
      </c>
      <c r="B141" s="8" t="inlineStr">
        <is>
          <t>Functional</t>
        </is>
      </c>
      <c r="C141" s="8" t="n">
        <v>25</v>
      </c>
      <c r="D141" s="8" t="inlineStr">
        <is>
          <t>US-064 · Current vs candidate</t>
        </is>
      </c>
      <c r="E141" s="8" t="inlineStr">
        <is>
          <t>Pass</t>
        </is>
      </c>
      <c r="F141" s="8" t="n">
        <v>13.2</v>
      </c>
      <c r="G141" s="8" t="inlineStr">
        <is>
          <t>2026-10-08</t>
        </is>
      </c>
    </row>
    <row r="142">
      <c r="A142" s="8" t="inlineStr">
        <is>
          <t>test/functional/ep09-15-partners-claims-privacy-governance.test.js</t>
        </is>
      </c>
      <c r="B142" s="8" t="inlineStr">
        <is>
          <t>Functional</t>
        </is>
      </c>
      <c r="C142" s="8" t="n">
        <v>26</v>
      </c>
      <c r="D142" s="8" t="inlineStr">
        <is>
          <t>US-065 · Self-approval forbidden</t>
        </is>
      </c>
      <c r="E142" s="8" t="inlineStr">
        <is>
          <t>Pass</t>
        </is>
      </c>
      <c r="F142" s="8" t="n">
        <v>4.2</v>
      </c>
      <c r="G142" s="8" t="inlineStr">
        <is>
          <t>2026-10-08</t>
        </is>
      </c>
    </row>
    <row r="143">
      <c r="A143" s="8" t="inlineStr">
        <is>
          <t>test/functional/ep09-15-partners-claims-privacy-governance.test.js</t>
        </is>
      </c>
      <c r="B143" s="8" t="inlineStr">
        <is>
          <t>Functional</t>
        </is>
      </c>
      <c r="C143" s="8" t="n">
        <v>27</v>
      </c>
      <c r="D143" s="8" t="inlineStr">
        <is>
          <t>US-065 · Approval activates and retires</t>
        </is>
      </c>
      <c r="E143" s="8" t="inlineStr">
        <is>
          <t>Pass</t>
        </is>
      </c>
      <c r="F143" s="8" t="n">
        <v>63.5</v>
      </c>
      <c r="G143" s="8" t="inlineStr">
        <is>
          <t>2026-10-08</t>
        </is>
      </c>
    </row>
    <row r="144">
      <c r="A144" s="8" t="inlineStr">
        <is>
          <t>test/functional/ep09-15-partners-claims-privacy-governance.test.js</t>
        </is>
      </c>
      <c r="B144" s="8" t="inlineStr">
        <is>
          <t>Functional</t>
        </is>
      </c>
      <c r="C144" s="8" t="n">
        <v>28</v>
      </c>
      <c r="D144" s="8" t="inlineStr">
        <is>
          <t>US-066 · Rollback is a governed change</t>
        </is>
      </c>
      <c r="E144" s="8" t="inlineStr">
        <is>
          <t>Pass</t>
        </is>
      </c>
      <c r="F144" s="8" t="n">
        <v>2.8</v>
      </c>
      <c r="G144" s="8" t="inlineStr">
        <is>
          <t>2026-10-08</t>
        </is>
      </c>
    </row>
    <row r="145">
      <c r="A145" s="8" t="inlineStr">
        <is>
          <t>test/functional/ep09-15-partners-claims-privacy-governance.test.js</t>
        </is>
      </c>
      <c r="B145" s="8" t="inlineStr">
        <is>
          <t>Functional</t>
        </is>
      </c>
      <c r="C145" s="8" t="n">
        <v>29</v>
      </c>
      <c r="D145" s="8" t="inlineStr">
        <is>
          <t>US-067 · Banned phrase in template</t>
        </is>
      </c>
      <c r="E145" s="8" t="inlineStr">
        <is>
          <t>Pass</t>
        </is>
      </c>
      <c r="F145" s="8" t="n">
        <v>3.2</v>
      </c>
      <c r="G145" s="8" t="inlineStr">
        <is>
          <t>2026-10-08</t>
        </is>
      </c>
    </row>
    <row r="146">
      <c r="A146" s="8" t="inlineStr">
        <is>
          <t>test/functional/ep09-15-partners-claims-privacy-governance.test.js</t>
        </is>
      </c>
      <c r="B146" s="8" t="inlineStr">
        <is>
          <t>Functional</t>
        </is>
      </c>
      <c r="C146" s="8" t="n">
        <v>30</v>
      </c>
      <c r="D146" s="8" t="inlineStr">
        <is>
          <t>US-068 · Cap</t>
        </is>
      </c>
      <c r="E146" s="8" t="inlineStr">
        <is>
          <t>Pass</t>
        </is>
      </c>
      <c r="F146" s="8" t="n">
        <v>2.3</v>
      </c>
      <c r="G146" s="8" t="inlineStr">
        <is>
          <t>2026-10-08</t>
        </is>
      </c>
    </row>
    <row r="147">
      <c r="A147" s="8" t="inlineStr">
        <is>
          <t>test/functional/ep09-15-partners-claims-privacy-governance.test.js</t>
        </is>
      </c>
      <c r="B147" s="8" t="inlineStr">
        <is>
          <t>Functional</t>
        </is>
      </c>
      <c r="C147" s="8" t="n">
        <v>31</v>
      </c>
      <c r="D147" s="8" t="inlineStr">
        <is>
          <t>US-069 · Two-step login</t>
        </is>
      </c>
      <c r="E147" s="8" t="inlineStr">
        <is>
          <t>Pass</t>
        </is>
      </c>
      <c r="F147" s="8" t="n">
        <v>51.1</v>
      </c>
      <c r="G147" s="8" t="inlineStr">
        <is>
          <t>2026-10-08</t>
        </is>
      </c>
    </row>
    <row r="148">
      <c r="A148" s="8" t="inlineStr">
        <is>
          <t>test/functional/ep09-15-partners-claims-privacy-governance.test.js</t>
        </is>
      </c>
      <c r="B148" s="8" t="inlineStr">
        <is>
          <t>Functional</t>
        </is>
      </c>
      <c r="C148" s="8" t="n">
        <v>32</v>
      </c>
      <c r="D148" s="8" t="inlineStr">
        <is>
          <t>US-069 · Privileged role without MFA enrolment</t>
        </is>
      </c>
      <c r="E148" s="8" t="inlineStr">
        <is>
          <t>Pass</t>
        </is>
      </c>
      <c r="F148" s="8" t="n">
        <v>95.59999999999999</v>
      </c>
      <c r="G148" s="8" t="inlineStr">
        <is>
          <t>2026-10-08</t>
        </is>
      </c>
    </row>
    <row r="149">
      <c r="A149" s="8" t="inlineStr">
        <is>
          <t>test/functional/ep09-15-partners-claims-privacy-governance.test.js</t>
        </is>
      </c>
      <c r="B149" s="8" t="inlineStr">
        <is>
          <t>Functional</t>
        </is>
      </c>
      <c r="C149" s="8" t="n">
        <v>33</v>
      </c>
      <c r="D149" s="8" t="inlineStr">
        <is>
          <t>US-070 · Lockout</t>
        </is>
      </c>
      <c r="E149" s="8" t="inlineStr">
        <is>
          <t>Pass</t>
        </is>
      </c>
      <c r="F149" s="8" t="n">
        <v>286.7</v>
      </c>
      <c r="G149" s="8" t="inlineStr">
        <is>
          <t>2026-10-08</t>
        </is>
      </c>
    </row>
    <row r="150">
      <c r="A150" s="8" t="inlineStr">
        <is>
          <t>test/functional/ep09-15-partners-claims-privacy-governance.test.js</t>
        </is>
      </c>
      <c r="B150" s="8" t="inlineStr">
        <is>
          <t>Functional</t>
        </is>
      </c>
      <c r="C150" s="8" t="n">
        <v>34</v>
      </c>
      <c r="D150" s="8" t="inlineStr">
        <is>
          <t>US-071 · Create agent</t>
        </is>
      </c>
      <c r="E150" s="8" t="inlineStr">
        <is>
          <t>Pass</t>
        </is>
      </c>
      <c r="F150" s="8" t="n">
        <v>97</v>
      </c>
      <c r="G150" s="8" t="inlineStr">
        <is>
          <t>2026-10-08</t>
        </is>
      </c>
    </row>
    <row r="151">
      <c r="A151" s="8" t="inlineStr">
        <is>
          <t>test/functional/ep09-15-partners-claims-privacy-governance.test.js</t>
        </is>
      </c>
      <c r="B151" s="8" t="inlineStr">
        <is>
          <t>Functional</t>
        </is>
      </c>
      <c r="C151" s="8" t="n">
        <v>35</v>
      </c>
      <c r="D151" s="8" t="inlineStr">
        <is>
          <t>US-071 · Weak password</t>
        </is>
      </c>
      <c r="E151" s="8" t="inlineStr">
        <is>
          <t>Pass</t>
        </is>
      </c>
      <c r="F151" s="8" t="n">
        <v>2.7</v>
      </c>
      <c r="G151" s="8" t="inlineStr">
        <is>
          <t>2026-10-08</t>
        </is>
      </c>
    </row>
    <row r="152">
      <c r="A152" s="8" t="inlineStr">
        <is>
          <t>test/functional/ep09-15-partners-claims-privacy-governance.test.js</t>
        </is>
      </c>
      <c r="B152" s="8" t="inlineStr">
        <is>
          <t>Functional</t>
        </is>
      </c>
      <c r="C152" s="8" t="n">
        <v>36</v>
      </c>
      <c r="D152" s="8" t="inlineStr">
        <is>
          <t>US-071 · Admin cannot read PII or approve rules</t>
        </is>
      </c>
      <c r="E152" s="8" t="inlineStr">
        <is>
          <t>Pass</t>
        </is>
      </c>
      <c r="F152" s="8" t="n">
        <v>10.3</v>
      </c>
      <c r="G152" s="8" t="inlineStr">
        <is>
          <t>2026-10-08</t>
        </is>
      </c>
    </row>
    <row r="153">
      <c r="A153" s="8" t="inlineStr">
        <is>
          <t>test/functional/ep09-15-partners-claims-privacy-governance.test.js</t>
        </is>
      </c>
      <c r="B153" s="8" t="inlineStr">
        <is>
          <t>Functional</t>
        </is>
      </c>
      <c r="C153" s="8" t="n">
        <v>37</v>
      </c>
      <c r="D153" s="8" t="inlineStr">
        <is>
          <t>US-072 · Verify</t>
        </is>
      </c>
      <c r="E153" s="8" t="inlineStr">
        <is>
          <t>Pass</t>
        </is>
      </c>
      <c r="F153" s="8" t="n">
        <v>50</v>
      </c>
      <c r="G153" s="8" t="inlineStr">
        <is>
          <t>2026-10-08</t>
        </is>
      </c>
    </row>
    <row r="154">
      <c r="A154" s="8" t="inlineStr">
        <is>
          <t>test/functional/ep09-15-partners-claims-privacy-governance.test.js</t>
        </is>
      </c>
      <c r="B154" s="8" t="inlineStr">
        <is>
          <t>Functional</t>
        </is>
      </c>
      <c r="C154" s="8" t="n">
        <v>38</v>
      </c>
      <c r="D154" s="8" t="inlineStr">
        <is>
          <t>US-072 · Tampering detected</t>
        </is>
      </c>
      <c r="E154" s="8" t="inlineStr">
        <is>
          <t>Pass</t>
        </is>
      </c>
      <c r="F154" s="8" t="n">
        <v>0.4</v>
      </c>
      <c r="G154" s="8" t="inlineStr">
        <is>
          <t>2026-10-08</t>
        </is>
      </c>
    </row>
    <row r="155">
      <c r="A155" s="8" t="inlineStr">
        <is>
          <t>test/functional/ep09-15-partners-claims-privacy-governance.test.js</t>
        </is>
      </c>
      <c r="B155" s="8" t="inlineStr">
        <is>
          <t>Functional</t>
        </is>
      </c>
      <c r="C155" s="8" t="n">
        <v>39</v>
      </c>
      <c r="D155" s="8" t="inlineStr">
        <is>
          <t>US-073 · Overview</t>
        </is>
      </c>
      <c r="E155" s="8" t="inlineStr">
        <is>
          <t>Pass</t>
        </is>
      </c>
      <c r="F155" s="8" t="n">
        <v>74.40000000000001</v>
      </c>
      <c r="G155" s="8" t="inlineStr">
        <is>
          <t>2026-10-08</t>
        </is>
      </c>
    </row>
    <row r="156">
      <c r="A156" s="8" t="inlineStr">
        <is>
          <t>test/functional/ep09-15-partners-claims-privacy-governance.test.js</t>
        </is>
      </c>
      <c r="B156" s="8" t="inlineStr">
        <is>
          <t>Functional</t>
        </is>
      </c>
      <c r="C156" s="8" t="n">
        <v>40</v>
      </c>
      <c r="D156" s="8" t="inlineStr">
        <is>
          <t>US-074 · Status</t>
        </is>
      </c>
      <c r="E156" s="8" t="inlineStr">
        <is>
          <t>Pass</t>
        </is>
      </c>
      <c r="F156" s="8" t="n">
        <v>51.1</v>
      </c>
      <c r="G156" s="8" t="inlineStr">
        <is>
          <t>2026-10-08</t>
        </is>
      </c>
    </row>
    <row r="157">
      <c r="A157" s="8" t="inlineStr">
        <is>
          <t>test/functional/ep09-15-partners-claims-privacy-governance.test.js</t>
        </is>
      </c>
      <c r="B157" s="8" t="inlineStr">
        <is>
          <t>Functional</t>
        </is>
      </c>
      <c r="C157" s="8" t="n">
        <v>41</v>
      </c>
      <c r="D157" s="8" t="inlineStr">
        <is>
          <t>US-074 · Reconciliation</t>
        </is>
      </c>
      <c r="E157" s="8" t="inlineStr">
        <is>
          <t>Pass</t>
        </is>
      </c>
      <c r="F157" s="8" t="n">
        <v>2.6</v>
      </c>
      <c r="G157" s="8" t="inlineStr">
        <is>
          <t>2026-10-08</t>
        </is>
      </c>
    </row>
    <row r="158">
      <c r="A158" s="8" t="inlineStr">
        <is>
          <t>test/functional/ep09-15-partners-claims-privacy-governance.test.js</t>
        </is>
      </c>
      <c r="B158" s="8" t="inlineStr">
        <is>
          <t>Functional</t>
        </is>
      </c>
      <c r="C158" s="8" t="n">
        <v>42</v>
      </c>
      <c r="D158" s="8" t="inlineStr">
        <is>
          <t>US-075 · Retention job</t>
        </is>
      </c>
      <c r="E158" s="8" t="inlineStr">
        <is>
          <t>Pass</t>
        </is>
      </c>
      <c r="F158" s="8" t="n">
        <v>2.7</v>
      </c>
      <c r="G158" s="8" t="inlineStr">
        <is>
          <t>2026-10-08</t>
        </is>
      </c>
    </row>
    <row r="159">
      <c r="A159" s="8" t="inlineStr">
        <is>
          <t>test/functional/ep09-15-partners-claims-privacy-governance.test.js</t>
        </is>
      </c>
      <c r="B159" s="8" t="inlineStr">
        <is>
          <t>Functional</t>
        </is>
      </c>
      <c r="C159" s="8" t="n">
        <v>43</v>
      </c>
      <c r="D159" s="8" t="inlineStr">
        <is>
          <t>US-076 · Language toggle — UI behaviour, verified manually / in UAT (VI ⇄ EN on staff console)</t>
        </is>
      </c>
      <c r="E159" s="8" t="inlineStr">
        <is>
          <t>Not Run</t>
        </is>
      </c>
      <c r="F159" s="8" t="n">
        <v>0.1</v>
      </c>
      <c r="G159" s="8" t="inlineStr">
        <is>
          <t>2026-10-08</t>
        </is>
      </c>
    </row>
    <row r="160">
      <c r="A160" s="8" t="inlineStr">
        <is>
          <t>test/functional/ep09-15-partners-claims-privacy-governance.test.js</t>
        </is>
      </c>
      <c r="B160" s="8" t="inlineStr">
        <is>
          <t>Functional</t>
        </is>
      </c>
      <c r="C160" s="8" t="n">
        <v>44</v>
      </c>
      <c r="D160" s="8" t="inlineStr">
        <is>
          <t>US-077 · Scan — physical QR scan of an e-certificate with a phone camera, verified in UAT</t>
        </is>
      </c>
      <c r="E160" s="8" t="inlineStr">
        <is>
          <t>Not Run</t>
        </is>
      </c>
      <c r="F160" s="8" t="n">
        <v>0.1</v>
      </c>
      <c r="G160" s="8" t="inlineStr">
        <is>
          <t>2026-10-08</t>
        </is>
      </c>
    </row>
    <row r="161">
      <c r="A161" s="8" t="inlineStr">
        <is>
          <t>test/integration/coreRating.test.js</t>
        </is>
      </c>
      <c r="B161" s="8" t="inlineStr">
        <is>
          <t>Integration</t>
        </is>
      </c>
      <c r="C161" s="8" t="n">
        <v>1</v>
      </c>
      <c r="D161" s="8" t="inlineStr">
        <is>
          <t>simulated core prices like local rules but returns a core quote reference and rating version</t>
        </is>
      </c>
      <c r="E161" s="8" t="inlineStr">
        <is>
          <t>Pass</t>
        </is>
      </c>
      <c r="F161" s="8" t="n">
        <v>1036.7</v>
      </c>
      <c r="G161" s="8" t="inlineStr">
        <is>
          <t>2026-10-08</t>
        </is>
      </c>
    </row>
    <row r="162">
      <c r="A162" s="8" t="inlineStr">
        <is>
          <t>test/integration/coreRating.test.js</t>
        </is>
      </c>
      <c r="B162" s="8" t="inlineStr">
        <is>
          <t>Integration</t>
        </is>
      </c>
      <c r="C162" s="8" t="n">
        <v>2</v>
      </c>
      <c r="D162" s="8" t="inlineStr">
        <is>
          <t>core business answers are never overridden by a local price</t>
        </is>
      </c>
      <c r="E162" s="8" t="inlineStr">
        <is>
          <t>Pass</t>
        </is>
      </c>
      <c r="F162" s="8" t="n">
        <v>1.8</v>
      </c>
      <c r="G162" s="8" t="inlineStr">
        <is>
          <t>2026-10-08</t>
        </is>
      </c>
    </row>
    <row r="163">
      <c r="A163" s="8" t="inlineStr">
        <is>
          <t>test/integration/coreRating.test.js</t>
        </is>
      </c>
      <c r="B163" s="8" t="inlineStr">
        <is>
          <t>Integration</t>
        </is>
      </c>
      <c r="C163" s="8" t="n">
        <v>3</v>
      </c>
      <c r="D163" s="8" t="inlineStr">
        <is>
          <t>core_with_fallback: core timeout / open circuit → indicative local quote that cannot be paid until re-rated</t>
        </is>
      </c>
      <c r="E163" s="8" t="inlineStr">
        <is>
          <t>Pass</t>
        </is>
      </c>
      <c r="F163" s="8" t="n">
        <v>222.7</v>
      </c>
      <c r="G163" s="8" t="inlineStr">
        <is>
          <t>2026-10-08</t>
        </is>
      </c>
    </row>
    <row r="164">
      <c r="A164" s="8" t="inlineStr">
        <is>
          <t>test/integration/coreRating.test.js</t>
        </is>
      </c>
      <c r="B164" s="8" t="inlineStr">
        <is>
          <t>Integration</t>
        </is>
      </c>
      <c r="C164" s="8" t="n">
        <v>4</v>
      </c>
      <c r="D164" s="8" t="inlineStr">
        <is>
          <t>rating service modes: rules (unchanged), core fails closed, fallback only on unavailability</t>
        </is>
      </c>
      <c r="E164" s="8" t="inlineStr">
        <is>
          <t>Pass</t>
        </is>
      </c>
      <c r="F164" s="8" t="n">
        <v>1.7</v>
      </c>
      <c r="G164" s="8" t="inlineStr">
        <is>
          <t>2026-10-08</t>
        </is>
      </c>
    </row>
    <row r="165">
      <c r="A165" s="8" t="inlineStr">
        <is>
          <t>test/integration/coreRating.test.js</t>
        </is>
      </c>
      <c r="B165" s="8" t="inlineStr">
        <is>
          <t>Integration</t>
        </is>
      </c>
      <c r="C165" s="8" t="n">
        <v>5</v>
      </c>
      <c r="D165" s="8" t="inlineStr">
        <is>
          <t>RATING_SOURCE=core against a real HTTP core (local stub): quote → pay → issue binds coreQuoteRef</t>
        </is>
      </c>
      <c r="E165" s="8" t="inlineStr">
        <is>
          <t>Pass</t>
        </is>
      </c>
      <c r="F165" s="8" t="n">
        <v>1611.1</v>
      </c>
      <c r="G165" s="8" t="inlineStr">
        <is>
          <t>2026-10-08</t>
        </is>
      </c>
    </row>
    <row r="166">
      <c r="A166" s="8" t="inlineStr">
        <is>
          <t>test/integration/coreRating.test.js</t>
        </is>
      </c>
      <c r="B166" s="8" t="inlineStr">
        <is>
          <t>Integration</t>
        </is>
      </c>
      <c r="C166" s="8" t="n">
        <v>6</v>
      </c>
      <c r="D166" s="8" t="inlineStr">
        <is>
          <t>catalogue sync: proposes a products draft via maker-checker, never activates, audits the diff</t>
        </is>
      </c>
      <c r="E166" s="8" t="inlineStr">
        <is>
          <t>Pass</t>
        </is>
      </c>
      <c r="F166" s="8" t="n">
        <v>75.40000000000001</v>
      </c>
      <c r="G166" s="8" t="inlineStr">
        <is>
          <t>2026-10-08</t>
        </is>
      </c>
    </row>
    <row r="167">
      <c r="A167" s="8" t="inlineStr">
        <is>
          <t>test/integration/coreRating.test.js</t>
        </is>
      </c>
      <c r="B167" s="8" t="inlineStr">
        <is>
          <t>Integration</t>
        </is>
      </c>
      <c r="C167" s="8" t="n">
        <v>7</v>
      </c>
      <c r="D167" s="8" t="inlineStr">
        <is>
          <t>mergeCatalogue: unchanged catalogue is a no-op; already-withdrawn products stay quiet</t>
        </is>
      </c>
      <c r="E167" s="8" t="inlineStr">
        <is>
          <t>Pass</t>
        </is>
      </c>
      <c r="F167" s="8" t="n">
        <v>0.4</v>
      </c>
      <c r="G167" s="8" t="inlineStr">
        <is>
          <t>2026-10-08</t>
        </is>
      </c>
    </row>
    <row r="168">
      <c r="A168" s="8" t="inlineStr">
        <is>
          <t>test/integration/coreRating.test.js</t>
        </is>
      </c>
      <c r="B168" s="8" t="inlineStr">
        <is>
          <t>Integration</t>
        </is>
      </c>
      <c r="C168" s="8" t="n">
        <v>8</v>
      </c>
      <c r="D168" s="8" t="inlineStr">
        <is>
          <t>integration status endpoint (ops permission) and catalogue-sync ops job</t>
        </is>
      </c>
      <c r="E168" s="8" t="inlineStr">
        <is>
          <t>Pass</t>
        </is>
      </c>
      <c r="F168" s="8" t="n">
        <v>236.8</v>
      </c>
      <c r="G168" s="8" t="inlineStr">
        <is>
          <t>2026-10-08</t>
        </is>
      </c>
    </row>
    <row r="169">
      <c r="A169" s="8" t="inlineStr">
        <is>
          <t>test/integration/coreRating.test.js</t>
        </is>
      </c>
      <c r="B169" s="8" t="inlineStr">
        <is>
          <t>Integration</t>
        </is>
      </c>
      <c r="C169" s="8" t="n">
        <v>9</v>
      </c>
      <c r="D169" s="8" t="inlineStr">
        <is>
          <t>config: RATING_SOURCE values and production guards</t>
        </is>
      </c>
      <c r="E169" s="8" t="inlineStr">
        <is>
          <t>Pass</t>
        </is>
      </c>
      <c r="F169" s="8" t="n">
        <v>2.2</v>
      </c>
      <c r="G169" s="8" t="inlineStr">
        <is>
          <t>2026-10-08</t>
        </is>
      </c>
    </row>
    <row r="170">
      <c r="A170" s="8" t="inlineStr">
        <is>
          <t>test/integration/governance.test.js</t>
        </is>
      </c>
      <c r="B170" s="8" t="inlineStr">
        <is>
          <t>Integration</t>
        </is>
      </c>
      <c r="C170" s="8" t="n">
        <v>1</v>
      </c>
      <c r="D170" s="8" t="inlineStr">
        <is>
          <t>rules: maker-checker lifecycle with validation, four-eyes and rollback</t>
        </is>
      </c>
      <c r="E170" s="8" t="inlineStr">
        <is>
          <t>Pass</t>
        </is>
      </c>
      <c r="F170" s="8" t="n">
        <v>1174.1</v>
      </c>
      <c r="G170" s="8" t="inlineStr">
        <is>
          <t>2026-10-08</t>
        </is>
      </c>
    </row>
    <row r="171">
      <c r="A171" s="8" t="inlineStr">
        <is>
          <t>test/integration/governance.test.js</t>
        </is>
      </c>
      <c r="B171" s="8" t="inlineStr">
        <is>
          <t>Integration</t>
        </is>
      </c>
      <c r="C171" s="8" t="n">
        <v>2</v>
      </c>
      <c r="D171" s="8" t="inlineStr">
        <is>
          <t>identity: login, MFA, lockout, password change, user admin</t>
        </is>
      </c>
      <c r="E171" s="8" t="inlineStr">
        <is>
          <t>Pass</t>
        </is>
      </c>
      <c r="F171" s="8" t="n">
        <v>2052.5</v>
      </c>
      <c r="G171" s="8" t="inlineStr">
        <is>
          <t>2026-10-08</t>
        </is>
      </c>
    </row>
    <row r="172">
      <c r="A172" s="8" t="inlineStr">
        <is>
          <t>test/integration/governance.test.js</t>
        </is>
      </c>
      <c r="B172" s="8" t="inlineStr">
        <is>
          <t>Integration</t>
        </is>
      </c>
      <c r="C172" s="8" t="n">
        <v>3</v>
      </c>
      <c r="D172" s="8" t="inlineStr">
        <is>
          <t>privileged roles must self-enrol MFA; lockout also covers the MFA step</t>
        </is>
      </c>
      <c r="E172" s="8" t="inlineStr">
        <is>
          <t>Pass</t>
        </is>
      </c>
      <c r="F172" s="8" t="n">
        <v>143.7</v>
      </c>
      <c r="G172" s="8" t="inlineStr">
        <is>
          <t>2026-10-08</t>
        </is>
      </c>
    </row>
    <row r="173">
      <c r="A173" s="8" t="inlineStr">
        <is>
          <t>test/integration/governance.test.js</t>
        </is>
      </c>
      <c r="B173" s="8" t="inlineStr">
        <is>
          <t>Integration</t>
        </is>
      </c>
      <c r="C173" s="8" t="n">
        <v>4</v>
      </c>
      <c r="D173" s="8" t="inlineStr">
        <is>
          <t>access policy: RBAC deny-by-default, ABAC region and assignment, PII masking</t>
        </is>
      </c>
      <c r="E173" s="8" t="inlineStr">
        <is>
          <t>Pass</t>
        </is>
      </c>
      <c r="F173" s="8" t="n">
        <v>1.4</v>
      </c>
      <c r="G173" s="8" t="inlineStr">
        <is>
          <t>2026-10-08</t>
        </is>
      </c>
    </row>
    <row r="174">
      <c r="A174" s="8" t="inlineStr">
        <is>
          <t>test/integration/governance.test.js</t>
        </is>
      </c>
      <c r="B174" s="8" t="inlineStr">
        <is>
          <t>Integration</t>
        </is>
      </c>
      <c r="C174" s="8" t="n">
        <v>5</v>
      </c>
      <c r="D174" s="8" t="inlineStr">
        <is>
          <t>voice service: console session, campaign calls, outcomes feed data and telesales</t>
        </is>
      </c>
      <c r="E174" s="8" t="inlineStr">
        <is>
          <t>Pass</t>
        </is>
      </c>
      <c r="F174" s="8" t="n">
        <v>106.5</v>
      </c>
      <c r="G174" s="8" t="inlineStr">
        <is>
          <t>2026-10-08</t>
        </is>
      </c>
    </row>
    <row r="175">
      <c r="A175" s="8" t="inlineStr">
        <is>
          <t>test/integration/governance.test.js</t>
        </is>
      </c>
      <c r="B175" s="8" t="inlineStr">
        <is>
          <t>Integration</t>
        </is>
      </c>
      <c r="C175" s="8" t="n">
        <v>6</v>
      </c>
      <c r="D175" s="8" t="inlineStr">
        <is>
          <t>customer self-service: home, declare expiry, consent, claims FNOL, DSAR export/erase</t>
        </is>
      </c>
      <c r="E175" s="8" t="inlineStr">
        <is>
          <t>Pass</t>
        </is>
      </c>
      <c r="F175" s="8" t="n">
        <v>49.8</v>
      </c>
      <c r="G175" s="8" t="inlineStr">
        <is>
          <t>2026-10-08</t>
        </is>
      </c>
    </row>
    <row r="176">
      <c r="A176" s="8" t="inlineStr">
        <is>
          <t>test/integration/governance.test.js</t>
        </is>
      </c>
      <c r="B176" s="8" t="inlineStr">
        <is>
          <t>Integration</t>
        </is>
      </c>
      <c r="C176" s="8" t="n">
        <v>7</v>
      </c>
      <c r="D176" s="8" t="inlineStr">
        <is>
          <t>ops: retention, DQ resolution, lineage, jobs, adoption KPIs</t>
        </is>
      </c>
      <c r="E176" s="8" t="inlineStr">
        <is>
          <t>Pass</t>
        </is>
      </c>
      <c r="F176" s="8" t="n">
        <v>22.1</v>
      </c>
      <c r="G176" s="8" t="inlineStr">
        <is>
          <t>2026-10-08</t>
        </is>
      </c>
    </row>
    <row r="177">
      <c r="A177" s="8" t="inlineStr">
        <is>
          <t>test/integration/governance.test.js</t>
        </is>
      </c>
      <c r="B177" s="8" t="inlineStr">
        <is>
          <t>Integration</t>
        </is>
      </c>
      <c r="C177" s="8" t="n">
        <v>8</v>
      </c>
      <c r="D177" s="8" t="inlineStr">
        <is>
          <t>demo MFA helper never returns an already-used code (repeat sign-ins within 30 s)</t>
        </is>
      </c>
      <c r="E177" s="8" t="inlineStr">
        <is>
          <t>Pass</t>
        </is>
      </c>
      <c r="F177" s="8" t="n">
        <v>193.5</v>
      </c>
      <c r="G177" s="8" t="inlineStr">
        <is>
          <t>2026-10-08</t>
        </is>
      </c>
    </row>
    <row r="178">
      <c r="A178" s="8" t="inlineStr">
        <is>
          <t>test/integration/governance.test.js</t>
        </is>
      </c>
      <c r="B178" s="8" t="inlineStr">
        <is>
          <t>Integration</t>
        </is>
      </c>
      <c r="C178" s="8" t="n">
        <v>9</v>
      </c>
      <c r="D178" s="8" t="inlineStr">
        <is>
          <t>UAT demo account sync unlocks accounts and applies published authenticator keys</t>
        </is>
      </c>
      <c r="E178" s="8" t="inlineStr">
        <is>
          <t>Pass</t>
        </is>
      </c>
      <c r="F178" s="8" t="n">
        <v>2855.2</v>
      </c>
      <c r="G178" s="8" t="inlineStr">
        <is>
          <t>2026-10-08</t>
        </is>
      </c>
    </row>
    <row r="179">
      <c r="A179" s="8" t="inlineStr">
        <is>
          <t>test/integration/governanceStudio.test.js</t>
        </is>
      </c>
      <c r="B179" s="8" t="inlineStr">
        <is>
          <t>Integration</t>
        </is>
      </c>
      <c r="C179" s="8" t="n">
        <v>1</v>
      </c>
      <c r="D179" s="8" t="inlineStr">
        <is>
          <t>rules: draft edit in place, submit comment, withdraw and display names</t>
        </is>
      </c>
      <c r="E179" s="8" t="inlineStr">
        <is>
          <t>Pass</t>
        </is>
      </c>
      <c r="F179" s="8" t="n">
        <v>1048.4</v>
      </c>
      <c r="G179" s="8" t="inlineStr">
        <is>
          <t>2026-10-08</t>
        </is>
      </c>
    </row>
    <row r="180">
      <c r="A180" s="8" t="inlineStr">
        <is>
          <t>test/integration/governanceStudio.test.js</t>
        </is>
      </c>
      <c r="B180" s="8" t="inlineStr">
        <is>
          <t>Integration</t>
        </is>
      </c>
      <c r="C180" s="8" t="n">
        <v>2</v>
      </c>
      <c r="D180" s="8" t="inlineStr">
        <is>
          <t>audit: business categories, date range, actor directory and object labels</t>
        </is>
      </c>
      <c r="E180" s="8" t="inlineStr">
        <is>
          <t>Pass</t>
        </is>
      </c>
      <c r="F180" s="8" t="n">
        <v>219.2</v>
      </c>
      <c r="G180" s="8" t="inlineStr">
        <is>
          <t>2026-10-08</t>
        </is>
      </c>
    </row>
    <row r="181">
      <c r="A181" s="8" t="inlineStr">
        <is>
          <t>test/integration/governanceStudio.test.js</t>
        </is>
      </c>
      <c r="B181" s="8" t="inlineStr">
        <is>
          <t>Integration</t>
        </is>
      </c>
      <c r="C181" s="8" t="n">
        <v>3</v>
      </c>
      <c r="D181" s="8" t="inlineStr">
        <is>
          <t>rules studio API: context, sample customers, aggregate simulation, draft PATCH and withdraw</t>
        </is>
      </c>
      <c r="E181" s="8" t="inlineStr">
        <is>
          <t>Pass</t>
        </is>
      </c>
      <c r="F181" s="8" t="n">
        <v>171.5</v>
      </c>
      <c r="G181" s="8" t="inlineStr">
        <is>
          <t>2026-10-08</t>
        </is>
      </c>
    </row>
    <row r="182">
      <c r="A182" s="8" t="inlineStr">
        <is>
          <t>test/integration/journeys.test.js</t>
        </is>
      </c>
      <c r="B182" s="8" t="inlineStr">
        <is>
          <t>Integration</t>
        </is>
      </c>
      <c r="C182" s="8" t="n">
        <v>1</v>
      </c>
      <c r="D182" s="8" t="inlineStr">
        <is>
          <t>seed builds golden records, leads and touchpoints for new business and retention</t>
        </is>
      </c>
      <c r="E182" s="8" t="inlineStr">
        <is>
          <t>Pass</t>
        </is>
      </c>
      <c r="F182" s="8" t="n">
        <v>1082.3</v>
      </c>
      <c r="G182" s="8" t="inlineStr">
        <is>
          <t>2026-10-08</t>
        </is>
      </c>
    </row>
    <row r="183">
      <c r="A183" s="8" t="inlineStr">
        <is>
          <t>test/integration/journeys.test.js</t>
        </is>
      </c>
      <c r="B183" s="8" t="inlineStr">
        <is>
          <t>Integration</t>
        </is>
      </c>
      <c r="C183" s="8" t="n">
        <v>2</v>
      </c>
      <c r="D183" s="8" t="inlineStr">
        <is>
          <t>journey run respects contact hours: night run sends only service notices</t>
        </is>
      </c>
      <c r="E183" s="8" t="inlineStr">
        <is>
          <t>Pass</t>
        </is>
      </c>
      <c r="F183" s="8" t="n">
        <v>65.90000000000001</v>
      </c>
      <c r="G183" s="8" t="inlineStr">
        <is>
          <t>2026-10-08</t>
        </is>
      </c>
    </row>
    <row r="184">
      <c r="A184" s="8" t="inlineStr">
        <is>
          <t>test/integration/journeys.test.js</t>
        </is>
      </c>
      <c r="B184" s="8" t="inlineStr">
        <is>
          <t>Integration</t>
        </is>
      </c>
      <c r="C184" s="8" t="n">
        <v>3</v>
      </c>
      <c r="D184" s="8" t="inlineStr">
        <is>
          <t>ecosystem events trigger moments of truth</t>
        </is>
      </c>
      <c r="E184" s="8" t="inlineStr">
        <is>
          <t>Pass</t>
        </is>
      </c>
      <c r="F184" s="8" t="n">
        <v>13.5</v>
      </c>
      <c r="G184" s="8" t="inlineStr">
        <is>
          <t>2026-10-08</t>
        </is>
      </c>
    </row>
    <row r="185">
      <c r="A185" s="8" t="inlineStr">
        <is>
          <t>test/integration/journeys.test.js</t>
        </is>
      </c>
      <c r="B185" s="8" t="inlineStr">
        <is>
          <t>Integration</t>
        </is>
      </c>
      <c r="C185" s="8" t="n">
        <v>4</v>
      </c>
      <c r="D185" s="8" t="inlineStr">
        <is>
          <t>lead recompute is incremental and audit-logged</t>
        </is>
      </c>
      <c r="E185" s="8" t="inlineStr">
        <is>
          <t>Pass</t>
        </is>
      </c>
      <c r="F185" s="8" t="n">
        <v>72.59999999999999</v>
      </c>
      <c r="G185" s="8" t="inlineStr">
        <is>
          <t>2026-10-08</t>
        </is>
      </c>
    </row>
    <row r="186">
      <c r="A186" s="8" t="inlineStr">
        <is>
          <t>test/integration/journeys.test.js</t>
        </is>
      </c>
      <c r="B186" s="8" t="inlineStr">
        <is>
          <t>Integration</t>
        </is>
      </c>
      <c r="C186" s="8" t="n">
        <v>5</v>
      </c>
      <c r="D186" s="8" t="inlineStr">
        <is>
          <t>window-blocked touchpoints are deferred, not lost</t>
        </is>
      </c>
      <c r="E186" s="8" t="inlineStr">
        <is>
          <t>Pass</t>
        </is>
      </c>
      <c r="F186" s="8" t="n">
        <v>5.4</v>
      </c>
      <c r="G186" s="8" t="inlineStr">
        <is>
          <t>2026-10-08</t>
        </is>
      </c>
    </row>
    <row r="187">
      <c r="A187" s="8" t="inlineStr">
        <is>
          <t>test/integration/journeys.test.js</t>
        </is>
      </c>
      <c r="B187" s="8" t="inlineStr">
        <is>
          <t>Integration</t>
        </is>
      </c>
      <c r="C187" s="8" t="n">
        <v>6</v>
      </c>
      <c r="D187" s="8" t="inlineStr">
        <is>
          <t>admin reset unlocks accounts and forces MFA re-enrolment without revealing seeds</t>
        </is>
      </c>
      <c r="E187" s="8" t="inlineStr">
        <is>
          <t>Pass</t>
        </is>
      </c>
      <c r="F187" s="8" t="n">
        <v>54.1</v>
      </c>
      <c r="G187" s="8" t="inlineStr">
        <is>
          <t>2026-10-08</t>
        </is>
      </c>
    </row>
    <row r="188">
      <c r="A188" s="8" t="inlineStr">
        <is>
          <t>test/integration/reviewFixes.test.js</t>
        </is>
      </c>
      <c r="B188" s="8" t="inlineStr">
        <is>
          <t>Integration</t>
        </is>
      </c>
      <c r="C188" s="8" t="n">
        <v>1</v>
      </c>
      <c r="D188" s="8" t="inlineStr">
        <is>
          <t>score reasons: never empty, tidy separators, "phone (call consent)" spacing</t>
        </is>
      </c>
      <c r="E188" s="8" t="inlineStr">
        <is>
          <t>Pass</t>
        </is>
      </c>
      <c r="F188" s="8" t="n">
        <v>1004.5</v>
      </c>
      <c r="G188" s="8" t="inlineStr">
        <is>
          <t>2026-10-08</t>
        </is>
      </c>
    </row>
    <row r="189">
      <c r="A189" s="8" t="inlineStr">
        <is>
          <t>test/integration/reviewFixes.test.js</t>
        </is>
      </c>
      <c r="B189" s="8" t="inlineStr">
        <is>
          <t>Integration</t>
        </is>
      </c>
      <c r="C189" s="8" t="n">
        <v>2</v>
      </c>
      <c r="D189" s="8" t="inlineStr">
        <is>
          <t>a verified TASCO certificate makes the profile a TASCO renewal, whatever weaker sources say</t>
        </is>
      </c>
      <c r="E189" s="8" t="inlineStr">
        <is>
          <t>Pass</t>
        </is>
      </c>
      <c r="F189" s="8" t="n">
        <v>1</v>
      </c>
      <c r="G189" s="8" t="inlineStr">
        <is>
          <t>2026-10-08</t>
        </is>
      </c>
    </row>
    <row r="190">
      <c r="A190" s="8" t="inlineStr">
        <is>
          <t>test/integration/reviewFixes.test.js</t>
        </is>
      </c>
      <c r="B190" s="8" t="inlineStr">
        <is>
          <t>Integration</t>
        </is>
      </c>
      <c r="C190" s="8" t="n">
        <v>3</v>
      </c>
      <c r="D190" s="8" t="inlineStr">
        <is>
          <t>weaker declared evidence is kept as superseded and does not change the insurer</t>
        </is>
      </c>
      <c r="E190" s="8" t="inlineStr">
        <is>
          <t>Pass</t>
        </is>
      </c>
      <c r="F190" s="8" t="n">
        <v>0.9</v>
      </c>
      <c r="G190" s="8" t="inlineStr">
        <is>
          <t>2026-10-08</t>
        </is>
      </c>
    </row>
    <row r="191">
      <c r="A191" s="8" t="inlineStr">
        <is>
          <t>test/integration/reviewFixes.test.js</t>
        </is>
      </c>
      <c r="B191" s="8" t="inlineStr">
        <is>
          <t>Integration</t>
        </is>
      </c>
      <c r="C191" s="8" t="n">
        <v>4</v>
      </c>
      <c r="D191" s="8" t="inlineStr">
        <is>
          <t>seeded base: every profile backed by a TASCO core certificate is insured by TASCO</t>
        </is>
      </c>
      <c r="E191" s="8" t="inlineStr">
        <is>
          <t>Pass</t>
        </is>
      </c>
      <c r="F191" s="8" t="n">
        <v>8.199999999999999</v>
      </c>
      <c r="G191" s="8" t="inlineStr">
        <is>
          <t>2026-10-08</t>
        </is>
      </c>
    </row>
    <row r="192">
      <c r="A192" s="8" t="inlineStr">
        <is>
          <t>test/integration/reviewFixes.test.js</t>
        </is>
      </c>
      <c r="B192" s="8" t="inlineStr">
        <is>
          <t>Integration</t>
        </is>
      </c>
      <c r="C192" s="8" t="n">
        <v>5</v>
      </c>
      <c r="D192" s="8" t="inlineStr">
        <is>
          <t>voice bot "already renewed" on a verified TASCO customer opens a DQ check instead of flipping to conquest</t>
        </is>
      </c>
      <c r="E192" s="8" t="inlineStr">
        <is>
          <t>Pass</t>
        </is>
      </c>
      <c r="F192" s="8" t="n">
        <v>38.3</v>
      </c>
      <c r="G192" s="8" t="inlineStr">
        <is>
          <t>2026-10-08</t>
        </is>
      </c>
    </row>
    <row r="193">
      <c r="A193" s="8" t="inlineStr">
        <is>
          <t>test/integration/reviewFixes.test.js</t>
        </is>
      </c>
      <c r="B193" s="8" t="inlineStr">
        <is>
          <t>Integration</t>
        </is>
      </c>
      <c r="C193" s="8" t="n">
        <v>6</v>
      </c>
      <c r="D193" s="8" t="inlineStr">
        <is>
          <t>overview reports vehicles with open data issues (distinct) alongside total issues</t>
        </is>
      </c>
      <c r="E193" s="8" t="inlineStr">
        <is>
          <t>Pass</t>
        </is>
      </c>
      <c r="F193" s="8" t="n">
        <v>10.1</v>
      </c>
      <c r="G193" s="8" t="inlineStr">
        <is>
          <t>2026-10-08</t>
        </is>
      </c>
    </row>
    <row r="194">
      <c r="A194" s="8" t="inlineStr">
        <is>
          <t>test/integration/reviewFixes.test.js</t>
        </is>
      </c>
      <c r="B194" s="8" t="inlineStr">
        <is>
          <t>Integration</t>
        </is>
      </c>
      <c r="C194" s="8" t="n">
        <v>7</v>
      </c>
      <c r="D194" s="8" t="inlineStr">
        <is>
          <t>claims queue rows carry plate, masked customer name and description</t>
        </is>
      </c>
      <c r="E194" s="8" t="inlineStr">
        <is>
          <t>Pass</t>
        </is>
      </c>
      <c r="F194" s="8" t="n">
        <v>28.6</v>
      </c>
      <c r="G194" s="8" t="inlineStr">
        <is>
          <t>2026-10-08</t>
        </is>
      </c>
    </row>
    <row r="195">
      <c r="A195" s="8" t="inlineStr">
        <is>
          <t>test/integration/reviewFixes.test.js</t>
        </is>
      </c>
      <c r="B195" s="8" t="inlineStr">
        <is>
          <t>Integration</t>
        </is>
      </c>
      <c r="C195" s="8" t="n">
        <v>8</v>
      </c>
      <c r="D195" s="8" t="inlineStr">
        <is>
          <t>partner statement groups commission lines by order with subtotals</t>
        </is>
      </c>
      <c r="E195" s="8" t="inlineStr">
        <is>
          <t>Pass</t>
        </is>
      </c>
      <c r="F195" s="8" t="n">
        <v>17.1</v>
      </c>
      <c r="G195" s="8" t="inlineStr">
        <is>
          <t>2026-10-08</t>
        </is>
      </c>
    </row>
    <row r="196">
      <c r="A196" s="8" t="inlineStr">
        <is>
          <t>test/integration/reviewFixes.test.js</t>
        </is>
      </c>
      <c r="B196" s="8" t="inlineStr">
        <is>
          <t>Integration</t>
        </is>
      </c>
      <c r="C196" s="8" t="n">
        <v>9</v>
      </c>
      <c r="D196" s="8" t="inlineStr">
        <is>
          <t>audit entries and rule sets resolve user ids to names</t>
        </is>
      </c>
      <c r="E196" s="8" t="inlineStr">
        <is>
          <t>Pass</t>
        </is>
      </c>
      <c r="F196" s="8" t="n">
        <v>3.2</v>
      </c>
      <c r="G196" s="8" t="inlineStr">
        <is>
          <t>2026-10-08</t>
        </is>
      </c>
    </row>
    <row r="197">
      <c r="A197" s="8" t="inlineStr">
        <is>
          <t>test/integration/sales.test.js</t>
        </is>
      </c>
      <c r="B197" s="8" t="inlineStr">
        <is>
          <t>Integration</t>
        </is>
      </c>
      <c r="C197" s="8" t="n">
        <v>1</v>
      </c>
      <c r="D197" s="8" t="inlineStr">
        <is>
          <t>quote: regulated TNDS + add-ons, bundle detection, channel restrictions</t>
        </is>
      </c>
      <c r="E197" s="8" t="inlineStr">
        <is>
          <t>Pass</t>
        </is>
      </c>
      <c r="F197" s="8" t="n">
        <v>1071.4</v>
      </c>
      <c r="G197" s="8" t="inlineStr">
        <is>
          <t>2026-10-08</t>
        </is>
      </c>
    </row>
    <row r="198">
      <c r="A198" s="8" t="inlineStr">
        <is>
          <t>test/integration/sales.test.js</t>
        </is>
      </c>
      <c r="B198" s="8" t="inlineStr">
        <is>
          <t>Integration</t>
        </is>
      </c>
      <c r="C198" s="8" t="n">
        <v>2</v>
      </c>
      <c r="D198" s="8" t="inlineStr">
        <is>
          <t>purchase: pay → issue → certificate; idempotent replay; golden record updated; journeys stop; cross-sell planned</t>
        </is>
      </c>
      <c r="E198" s="8" t="inlineStr">
        <is>
          <t>Pass</t>
        </is>
      </c>
      <c r="F198" s="8" t="n">
        <v>30.3</v>
      </c>
      <c r="G198" s="8" t="inlineStr">
        <is>
          <t>2026-10-08</t>
        </is>
      </c>
    </row>
    <row r="199">
      <c r="A199" s="8" t="inlineStr">
        <is>
          <t>test/integration/sales.test.js</t>
        </is>
      </c>
      <c r="B199" s="8" t="inlineStr">
        <is>
          <t>Integration</t>
        </is>
      </c>
      <c r="C199" s="8" t="n">
        <v>3</v>
      </c>
      <c r="D199" s="8" t="inlineStr">
        <is>
          <t>staff can never debit a customer wallet</t>
        </is>
      </c>
      <c r="E199" s="8" t="inlineStr">
        <is>
          <t>Pass</t>
        </is>
      </c>
      <c r="F199" s="8" t="n">
        <v>1.4</v>
      </c>
      <c r="G199" s="8" t="inlineStr">
        <is>
          <t>2026-10-08</t>
        </is>
      </c>
    </row>
    <row r="200">
      <c r="A200" s="8" t="inlineStr">
        <is>
          <t>test/integration/sales.test.js</t>
        </is>
      </c>
      <c r="B200" s="8" t="inlineStr">
        <is>
          <t>Integration</t>
        </is>
      </c>
      <c r="C200" s="8" t="n">
        <v>4</v>
      </c>
      <c r="D200" s="8" t="inlineStr">
        <is>
          <t>expired quote and payment failure are handled</t>
        </is>
      </c>
      <c r="E200" s="8" t="inlineStr">
        <is>
          <t>Pass</t>
        </is>
      </c>
      <c r="F200" s="8" t="n">
        <v>19.6</v>
      </c>
      <c r="G200" s="8" t="inlineStr">
        <is>
          <t>2026-10-08</t>
        </is>
      </c>
    </row>
    <row r="201">
      <c r="A201" s="8" t="inlineStr">
        <is>
          <t>test/integration/sales.test.js</t>
        </is>
      </c>
      <c r="B201" s="8" t="inlineStr">
        <is>
          <t>Integration</t>
        </is>
      </c>
      <c r="C201" s="8" t="n">
        <v>5</v>
      </c>
      <c r="D201" s="8" t="inlineStr">
        <is>
          <t>issuance failure after payment triggers refund + reconciliation flag</t>
        </is>
      </c>
      <c r="E201" s="8" t="inlineStr">
        <is>
          <t>Pass</t>
        </is>
      </c>
      <c r="F201" s="8" t="n">
        <v>17.7</v>
      </c>
      <c r="G201" s="8" t="inlineStr">
        <is>
          <t>2026-10-08</t>
        </is>
      </c>
    </row>
    <row r="202">
      <c r="A202" s="8" t="inlineStr">
        <is>
          <t>test/integration/sales.test.js</t>
        </is>
      </c>
      <c r="B202" s="8" t="inlineStr">
        <is>
          <t>Integration</t>
        </is>
      </c>
      <c r="C202" s="8" t="n">
        <v>6</v>
      </c>
      <c r="D202" s="8" t="inlineStr">
        <is>
          <t>partner channel: onboarding a new vehicle, commission within statutory caps, key lifecycle</t>
        </is>
      </c>
      <c r="E202" s="8" t="inlineStr">
        <is>
          <t>Pass</t>
        </is>
      </c>
      <c r="F202" s="8" t="n">
        <v>12</v>
      </c>
      <c r="G202" s="8" t="inlineStr">
        <is>
          <t>2026-10-08</t>
        </is>
      </c>
    </row>
    <row r="203">
      <c r="A203" s="8" t="inlineStr">
        <is>
          <t>test/integration/sales.test.js</t>
        </is>
      </c>
      <c r="B203" s="8" t="inlineStr">
        <is>
          <t>Integration</t>
        </is>
      </c>
      <c r="C203" s="8" t="n">
        <v>7</v>
      </c>
      <c r="D203" s="8" t="inlineStr">
        <is>
          <t>saga compensation: partial issuance cancels issued lines and refunds; failed keys cannot be replayed as success</t>
        </is>
      </c>
      <c r="E203" s="8" t="inlineStr">
        <is>
          <t>Pass</t>
        </is>
      </c>
      <c r="F203" s="8" t="n">
        <v>15.7</v>
      </c>
      <c r="G203" s="8" t="inlineStr">
        <is>
          <t>2026-10-08</t>
        </is>
      </c>
    </row>
    <row r="204">
      <c r="A204" s="8" t="inlineStr">
        <is>
          <t>test/integration/sales.test.js</t>
        </is>
      </c>
      <c r="B204" s="8" t="inlineStr">
        <is>
          <t>Integration</t>
        </is>
      </c>
      <c r="C204" s="8" t="n">
        <v>8</v>
      </c>
      <c r="D204" s="8" t="inlineStr">
        <is>
          <t>copy guard catches whitespace and spacing evasions</t>
        </is>
      </c>
      <c r="E204" s="8" t="inlineStr">
        <is>
          <t>Pass</t>
        </is>
      </c>
      <c r="F204" s="8" t="n">
        <v>0.6</v>
      </c>
      <c r="G204" s="8" t="inlineStr">
        <is>
          <t>2026-10-08</t>
        </is>
      </c>
    </row>
    <row r="205">
      <c r="A205" s="8" t="inlineStr">
        <is>
          <t>test/pg/postgres.test.js</t>
        </is>
      </c>
      <c r="B205" s="8" t="inlineStr">
        <is>
          <t>PostgreSQL</t>
        </is>
      </c>
      <c r="C205" s="8" t="n">
        <v>1</v>
      </c>
      <c r="D205" s="8" t="inlineStr">
        <is>
          <t>migrations are idempotent and tables exist</t>
        </is>
      </c>
      <c r="E205" s="8" t="inlineStr">
        <is>
          <t>Pass</t>
        </is>
      </c>
      <c r="F205" s="8" t="n">
        <v>4998.6</v>
      </c>
      <c r="G205" s="8" t="inlineStr">
        <is>
          <t>2026-10-08</t>
        </is>
      </c>
    </row>
    <row r="206">
      <c r="A206" s="8" t="inlineStr">
        <is>
          <t>test/pg/postgres.test.js</t>
        </is>
      </c>
      <c r="B206" s="8" t="inlineStr">
        <is>
          <t>PostgreSQL</t>
        </is>
      </c>
      <c r="C206" s="8" t="n">
        <v>2</v>
      </c>
      <c r="D206" s="8" t="inlineStr">
        <is>
          <t>seeded platform works on Postgres: profiles, leads, rules, filtering</t>
        </is>
      </c>
      <c r="E206" s="8" t="inlineStr">
        <is>
          <t>Pass</t>
        </is>
      </c>
      <c r="F206" s="8" t="n">
        <v>78.90000000000001</v>
      </c>
      <c r="G206" s="8" t="inlineStr">
        <is>
          <t>2026-10-08</t>
        </is>
      </c>
    </row>
    <row r="207">
      <c r="A207" s="8" t="inlineStr">
        <is>
          <t>test/pg/postgres.test.js</t>
        </is>
      </c>
      <c r="B207" s="8" t="inlineStr">
        <is>
          <t>PostgreSQL</t>
        </is>
      </c>
      <c r="C207" s="8" t="n">
        <v>3</v>
      </c>
      <c r="D207" s="8" t="inlineStr">
        <is>
          <t>PII is encrypted at rest in Postgres and blind index works</t>
        </is>
      </c>
      <c r="E207" s="8" t="inlineStr">
        <is>
          <t>Pass</t>
        </is>
      </c>
      <c r="F207" s="8" t="n">
        <v>25.5</v>
      </c>
      <c r="G207" s="8" t="inlineStr">
        <is>
          <t>2026-10-08</t>
        </is>
      </c>
    </row>
    <row r="208">
      <c r="A208" s="8" t="inlineStr">
        <is>
          <t>test/pg/postgres.test.js</t>
        </is>
      </c>
      <c r="B208" s="8" t="inlineStr">
        <is>
          <t>PostgreSQL</t>
        </is>
      </c>
      <c r="C208" s="8" t="n">
        <v>4</v>
      </c>
      <c r="D208" s="8" t="inlineStr">
        <is>
          <t>optimistic locking and parameterised filters resist injection</t>
        </is>
      </c>
      <c r="E208" s="8" t="inlineStr">
        <is>
          <t>Pass</t>
        </is>
      </c>
      <c r="F208" s="8" t="n">
        <v>5.7</v>
      </c>
      <c r="G208" s="8" t="inlineStr">
        <is>
          <t>2026-10-08</t>
        </is>
      </c>
    </row>
    <row r="209">
      <c r="A209" s="8" t="inlineStr">
        <is>
          <t>test/pg/postgres.test.js</t>
        </is>
      </c>
      <c r="B209" s="8" t="inlineStr">
        <is>
          <t>PostgreSQL</t>
        </is>
      </c>
      <c r="C209" s="8" t="n">
        <v>5</v>
      </c>
      <c r="D209" s="8" t="inlineStr">
        <is>
          <t>audit trail: chain verifies and the database blocks UPDATE, DELETE and TRUNCATE</t>
        </is>
      </c>
      <c r="E209" s="8" t="inlineStr">
        <is>
          <t>Pass</t>
        </is>
      </c>
      <c r="F209" s="8" t="n">
        <v>11.4</v>
      </c>
      <c r="G209" s="8" t="inlineStr">
        <is>
          <t>2026-10-08</t>
        </is>
      </c>
    </row>
    <row r="210">
      <c r="A210" s="8" t="inlineStr">
        <is>
          <t>test/pg/postgres.test.js</t>
        </is>
      </c>
      <c r="B210" s="8" t="inlineStr">
        <is>
          <t>PostgreSQL</t>
        </is>
      </c>
      <c r="C210" s="8" t="n">
        <v>6</v>
      </c>
      <c r="D210" s="8" t="inlineStr">
        <is>
          <t>one active rule version per kind is enforced by the database</t>
        </is>
      </c>
      <c r="E210" s="8" t="inlineStr">
        <is>
          <t>Pass</t>
        </is>
      </c>
      <c r="F210" s="8" t="n">
        <v>3.6</v>
      </c>
      <c r="G210" s="8" t="inlineStr">
        <is>
          <t>2026-10-08</t>
        </is>
      </c>
    </row>
    <row r="211">
      <c r="A211" s="8" t="inlineStr">
        <is>
          <t>test/pg/postgres.test.js</t>
        </is>
      </c>
      <c r="B211" s="8" t="inlineStr">
        <is>
          <t>PostgreSQL</t>
        </is>
      </c>
      <c r="C211" s="8" t="n">
        <v>7</v>
      </c>
      <c r="D211" s="8" t="inlineStr">
        <is>
          <t>outbox claims are exclusive across concurrent relays (SKIP LOCKED)</t>
        </is>
      </c>
      <c r="E211" s="8" t="inlineStr">
        <is>
          <t>Pass</t>
        </is>
      </c>
      <c r="F211" s="8" t="n">
        <v>21.2</v>
      </c>
      <c r="G211" s="8" t="inlineStr">
        <is>
          <t>2026-10-08</t>
        </is>
      </c>
    </row>
    <row r="212">
      <c r="A212" s="8" t="inlineStr">
        <is>
          <t>test/pg/postgres.test.js</t>
        </is>
      </c>
      <c r="B212" s="8" t="inlineStr">
        <is>
          <t>PostgreSQL</t>
        </is>
      </c>
      <c r="C212" s="8" t="n">
        <v>8</v>
      </c>
      <c r="D212" s="8" t="inlineStr">
        <is>
          <t>end-to-end sale on Postgres with transactional rule approval</t>
        </is>
      </c>
      <c r="E212" s="8" t="inlineStr">
        <is>
          <t>Pass</t>
        </is>
      </c>
      <c r="F212" s="8" t="n">
        <v>151.4</v>
      </c>
      <c r="G212" s="8" t="inlineStr">
        <is>
          <t>2026-10-08</t>
        </is>
      </c>
    </row>
    <row r="213">
      <c r="A213" s="8" t="inlineStr">
        <is>
          <t>test/security/security.test.js</t>
        </is>
      </c>
      <c r="B213" s="8" t="inlineStr">
        <is>
          <t>Security</t>
        </is>
      </c>
      <c r="C213" s="8" t="n">
        <v>1</v>
      </c>
      <c r="D213" s="8" t="inlineStr">
        <is>
          <t>A01 broken access control: role, region, IDOR and staff/customer token separation</t>
        </is>
      </c>
      <c r="E213" s="8" t="inlineStr">
        <is>
          <t>Pass</t>
        </is>
      </c>
      <c r="F213" s="8" t="n">
        <v>1246</v>
      </c>
      <c r="G213" s="8" t="inlineStr">
        <is>
          <t>2026-10-08</t>
        </is>
      </c>
    </row>
    <row r="214">
      <c r="A214" s="8" t="inlineStr">
        <is>
          <t>test/security/security.test.js</t>
        </is>
      </c>
      <c r="B214" s="8" t="inlineStr">
        <is>
          <t>Security</t>
        </is>
      </c>
      <c r="C214" s="8" t="n">
        <v>2</v>
      </c>
      <c r="D214" s="8" t="inlineStr">
        <is>
          <t>A02 cryptographic failures: PII encrypted at rest, secrets never returned</t>
        </is>
      </c>
      <c r="E214" s="8" t="inlineStr">
        <is>
          <t>Pass</t>
        </is>
      </c>
      <c r="F214" s="8" t="n">
        <v>73.2</v>
      </c>
      <c r="G214" s="8" t="inlineStr">
        <is>
          <t>2026-10-08</t>
        </is>
      </c>
    </row>
    <row r="215">
      <c r="A215" s="8" t="inlineStr">
        <is>
          <t>test/security/security.test.js</t>
        </is>
      </c>
      <c r="B215" s="8" t="inlineStr">
        <is>
          <t>Security</t>
        </is>
      </c>
      <c r="C215" s="8" t="n">
        <v>3</v>
      </c>
      <c r="D215" s="8" t="inlineStr">
        <is>
          <t>A03 injection: unknown filter columns, oversized/hostile inputs, JSON-only bodies</t>
        </is>
      </c>
      <c r="E215" s="8" t="inlineStr">
        <is>
          <t>Pass</t>
        </is>
      </c>
      <c r="F215" s="8" t="n">
        <v>121.7</v>
      </c>
      <c r="G215" s="8" t="inlineStr">
        <is>
          <t>2026-10-08</t>
        </is>
      </c>
    </row>
    <row r="216">
      <c r="A216" s="8" t="inlineStr">
        <is>
          <t>test/security/security.test.js</t>
        </is>
      </c>
      <c r="B216" s="8" t="inlineStr">
        <is>
          <t>Security</t>
        </is>
      </c>
      <c r="C216" s="8" t="n">
        <v>4</v>
      </c>
      <c r="D216" s="8" t="inlineStr">
        <is>
          <t>A05 security misconfiguration: headers, no stack traces, path traversal, CORS</t>
        </is>
      </c>
      <c r="E216" s="8" t="inlineStr">
        <is>
          <t>Pass</t>
        </is>
      </c>
      <c r="F216" s="8" t="n">
        <v>62.7</v>
      </c>
      <c r="G216" s="8" t="inlineStr">
        <is>
          <t>2026-10-08</t>
        </is>
      </c>
    </row>
    <row r="217">
      <c r="A217" s="8" t="inlineStr">
        <is>
          <t>test/security/security.test.js</t>
        </is>
      </c>
      <c r="B217" s="8" t="inlineStr">
        <is>
          <t>Security</t>
        </is>
      </c>
      <c r="C217" s="8" t="n">
        <v>5</v>
      </c>
      <c r="D217" s="8" t="inlineStr">
        <is>
          <t>A07 identification &amp; authentication: alg=none, forged and expired tokens, brute force</t>
        </is>
      </c>
      <c r="E217" s="8" t="inlineStr">
        <is>
          <t>Pass</t>
        </is>
      </c>
      <c r="F217" s="8" t="n">
        <v>408.3</v>
      </c>
      <c r="G217" s="8" t="inlineStr">
        <is>
          <t>2026-10-08</t>
        </is>
      </c>
    </row>
    <row r="218">
      <c r="A218" s="8" t="inlineStr">
        <is>
          <t>test/security/security.test.js</t>
        </is>
      </c>
      <c r="B218" s="8" t="inlineStr">
        <is>
          <t>Security</t>
        </is>
      </c>
      <c r="C218" s="8" t="n">
        <v>6</v>
      </c>
      <c r="D218" s="8" t="inlineStr">
        <is>
          <t>rate limiting on sign-in returns 429 with Retry-After</t>
        </is>
      </c>
      <c r="E218" s="8" t="inlineStr">
        <is>
          <t>Pass</t>
        </is>
      </c>
      <c r="F218" s="8" t="n">
        <v>1187</v>
      </c>
      <c r="G218" s="8" t="inlineStr">
        <is>
          <t>2026-10-08</t>
        </is>
      </c>
    </row>
    <row r="219">
      <c r="A219" s="8" t="inlineStr">
        <is>
          <t>test/security/security.test.js</t>
        </is>
      </c>
      <c r="B219" s="8" t="inlineStr">
        <is>
          <t>Security</t>
        </is>
      </c>
      <c r="C219" s="8" t="n">
        <v>7</v>
      </c>
      <c r="D219" s="8" t="inlineStr">
        <is>
          <t>A08/A09 integrity &amp; logging: audit chain intact; signed links cannot be forged</t>
        </is>
      </c>
      <c r="E219" s="8" t="inlineStr">
        <is>
          <t>Pass</t>
        </is>
      </c>
      <c r="F219" s="8" t="n">
        <v>10.6</v>
      </c>
      <c r="G219" s="8" t="inlineStr">
        <is>
          <t>2026-10-08</t>
        </is>
      </c>
    </row>
    <row r="220">
      <c r="A220" s="8" t="inlineStr">
        <is>
          <t>test/security/security.test.js</t>
        </is>
      </c>
      <c r="B220" s="8" t="inlineStr">
        <is>
          <t>Security</t>
        </is>
      </c>
      <c r="C220" s="8" t="n">
        <v>8</v>
      </c>
      <c r="D220" s="8" t="inlineStr">
        <is>
          <t>demo endpoints are disabled when DEMO_MODE is off</t>
        </is>
      </c>
      <c r="E220" s="8" t="inlineStr">
        <is>
          <t>Pass</t>
        </is>
      </c>
      <c r="F220" s="8" t="n">
        <v>26.3</v>
      </c>
      <c r="G220" s="8" t="inlineStr">
        <is>
          <t>2026-10-08</t>
        </is>
      </c>
    </row>
    <row r="221">
      <c r="A221" s="8" t="inlineStr">
        <is>
          <t>test/security/security.test.js</t>
        </is>
      </c>
      <c r="B221" s="8" t="inlineStr">
        <is>
          <t>Security</t>
        </is>
      </c>
      <c r="C221" s="8" t="n">
        <v>9</v>
      </c>
      <c r="D221" s="8" t="inlineStr">
        <is>
          <t>hardening regressions: proxy IP, metrics auth, key scopes, malformed paths, link expiry, erasure</t>
        </is>
      </c>
      <c r="E221" s="8" t="inlineStr">
        <is>
          <t>Pass</t>
        </is>
      </c>
      <c r="F221" s="8" t="n">
        <v>1278.4</v>
      </c>
      <c r="G221" s="8" t="inlineStr">
        <is>
          <t>2026-10-08</t>
        </is>
      </c>
    </row>
    <row r="222">
      <c r="A222" s="8" t="inlineStr">
        <is>
          <t>test/security/security.test.js</t>
        </is>
      </c>
      <c r="B222" s="8" t="inlineStr">
        <is>
          <t>Security</t>
        </is>
      </c>
      <c r="C222" s="8" t="n">
        <v>10</v>
      </c>
      <c r="D222" s="8" t="inlineStr">
        <is>
          <t>concurrent purchases of one quote cannot double-charge</t>
        </is>
      </c>
      <c r="E222" s="8" t="inlineStr">
        <is>
          <t>Pass</t>
        </is>
      </c>
      <c r="F222" s="8" t="n">
        <v>12</v>
      </c>
      <c r="G222" s="8" t="inlineStr">
        <is>
          <t>2026-10-08</t>
        </is>
      </c>
    </row>
    <row r="223">
      <c r="A223" s="8" t="inlineStr">
        <is>
          <t>test/security/security.test.js</t>
        </is>
      </c>
      <c r="B223" s="8" t="inlineStr">
        <is>
          <t>Security</t>
        </is>
      </c>
      <c r="C223" s="8" t="n">
        <v>11</v>
      </c>
      <c r="D223" s="8" t="inlineStr">
        <is>
          <t>security-sensitive rule kinds need a compliance officer to approve</t>
        </is>
      </c>
      <c r="E223" s="8" t="inlineStr">
        <is>
          <t>Pass</t>
        </is>
      </c>
      <c r="F223" s="8" t="n">
        <v>2.1</v>
      </c>
      <c r="G223" s="8" t="inlineStr">
        <is>
          <t>2026-10-08</t>
        </is>
      </c>
    </row>
    <row r="224">
      <c r="A224" s="8" t="inlineStr">
        <is>
          <t>test/security/security.test.js</t>
        </is>
      </c>
      <c r="B224" s="8" t="inlineStr">
        <is>
          <t>Security</t>
        </is>
      </c>
      <c r="C224" s="8" t="n">
        <v>12</v>
      </c>
      <c r="D224" s="8" t="inlineStr">
        <is>
          <t>ABAC cannot be widened by adding an unrelated role</t>
        </is>
      </c>
      <c r="E224" s="8" t="inlineStr">
        <is>
          <t>Pass</t>
        </is>
      </c>
      <c r="F224" s="8" t="n">
        <v>0.5</v>
      </c>
      <c r="G224" s="8" t="inlineStr">
        <is>
          <t>2026-10-08</t>
        </is>
      </c>
    </row>
    <row r="225">
      <c r="A225" s="8" t="inlineStr">
        <is>
          <t>test/unit/identity.test.js</t>
        </is>
      </c>
      <c r="B225" s="8" t="inlineStr">
        <is>
          <t>Unit</t>
        </is>
      </c>
      <c r="C225" s="8" t="n">
        <v>1</v>
      </c>
      <c r="D225" s="8" t="inlineStr">
        <is>
          <t>normalizePlate handles dirty formats</t>
        </is>
      </c>
      <c r="E225" s="8" t="inlineStr">
        <is>
          <t>Pass</t>
        </is>
      </c>
      <c r="F225" s="8" t="n">
        <v>2.7</v>
      </c>
      <c r="G225" s="8" t="inlineStr">
        <is>
          <t>2026-10-08</t>
        </is>
      </c>
    </row>
    <row r="226">
      <c r="A226" s="8" t="inlineStr">
        <is>
          <t>test/unit/identity.test.js</t>
        </is>
      </c>
      <c r="B226" s="8" t="inlineStr">
        <is>
          <t>Unit</t>
        </is>
      </c>
      <c r="C226" s="8" t="n">
        <v>2</v>
      </c>
      <c r="D226" s="8" t="inlineStr">
        <is>
          <t>normalizePhone canonicalises Vietnamese mobiles</t>
        </is>
      </c>
      <c r="E226" s="8" t="inlineStr">
        <is>
          <t>Pass</t>
        </is>
      </c>
      <c r="F226" s="8" t="n">
        <v>0.4</v>
      </c>
      <c r="G226" s="8" t="inlineStr">
        <is>
          <t>2026-10-08</t>
        </is>
      </c>
    </row>
    <row r="227">
      <c r="A227" s="8" t="inlineStr">
        <is>
          <t>test/unit/identity.test.js</t>
        </is>
      </c>
      <c r="B227" s="8" t="inlineStr">
        <is>
          <t>Unit</t>
        </is>
      </c>
      <c r="C227" s="8" t="n">
        <v>3</v>
      </c>
      <c r="D227" s="8" t="inlineStr">
        <is>
          <t>extractPlateFromSpeech understands digits and spoken Vietnamese numbers</t>
        </is>
      </c>
      <c r="E227" s="8" t="inlineStr">
        <is>
          <t>Pass</t>
        </is>
      </c>
      <c r="F227" s="8" t="n">
        <v>1</v>
      </c>
      <c r="G227" s="8" t="inlineStr">
        <is>
          <t>2026-10-08</t>
        </is>
      </c>
    </row>
    <row r="228">
      <c r="A228" s="8" t="inlineStr">
        <is>
          <t>test/unit/jsonLogic.test.js</t>
        </is>
      </c>
      <c r="B228" s="8" t="inlineStr">
        <is>
          <t>Unit</t>
        </is>
      </c>
      <c r="C228" s="8" t="n">
        <v>1</v>
      </c>
      <c r="D228" s="8" t="inlineStr">
        <is>
          <t>jsonLogic: comparison, arithmetic and logic operators</t>
        </is>
      </c>
      <c r="E228" s="8" t="inlineStr">
        <is>
          <t>Pass</t>
        </is>
      </c>
      <c r="F228" s="8" t="n">
        <v>3.6</v>
      </c>
      <c r="G228" s="8" t="inlineStr">
        <is>
          <t>2026-10-08</t>
        </is>
      </c>
    </row>
    <row r="229">
      <c r="A229" s="8" t="inlineStr">
        <is>
          <t>test/unit/jsonLogic.test.js</t>
        </is>
      </c>
      <c r="B229" s="8" t="inlineStr">
        <is>
          <t>Unit</t>
        </is>
      </c>
      <c r="C229" s="8" t="n">
        <v>2</v>
      </c>
      <c r="D229" s="8" t="inlineStr">
        <is>
          <t>jsonLogic: and/or/if short-circuit</t>
        </is>
      </c>
      <c r="E229" s="8" t="inlineStr">
        <is>
          <t>Pass</t>
        </is>
      </c>
      <c r="F229" s="8" t="n">
        <v>0.4</v>
      </c>
      <c r="G229" s="8" t="inlineStr">
        <is>
          <t>2026-10-08</t>
        </is>
      </c>
    </row>
    <row r="230">
      <c r="A230" s="8" t="inlineStr">
        <is>
          <t>test/unit/jsonLogic.test.js</t>
        </is>
      </c>
      <c r="B230" s="8" t="inlineStr">
        <is>
          <t>Unit</t>
        </is>
      </c>
      <c r="C230" s="8" t="n">
        <v>3</v>
      </c>
      <c r="D230" s="8" t="inlineStr">
        <is>
          <t>jsonLogic: rejects prototype access and unknown operators</t>
        </is>
      </c>
      <c r="E230" s="8" t="inlineStr">
        <is>
          <t>Pass</t>
        </is>
      </c>
      <c r="F230" s="8" t="n">
        <v>1</v>
      </c>
      <c r="G230" s="8" t="inlineStr">
        <is>
          <t>2026-10-08</t>
        </is>
      </c>
    </row>
    <row r="231">
      <c r="A231" s="8" t="inlineStr">
        <is>
          <t>test/unit/jsonLogic.test.js</t>
        </is>
      </c>
      <c r="B231" s="8" t="inlineStr">
        <is>
          <t>Unit</t>
        </is>
      </c>
      <c r="C231" s="8" t="n">
        <v>4</v>
      </c>
      <c r="D231" s="8" t="inlineStr">
        <is>
          <t>template renders placeholders</t>
        </is>
      </c>
      <c r="E231" s="8" t="inlineStr">
        <is>
          <t>Pass</t>
        </is>
      </c>
      <c r="F231" s="8" t="n">
        <v>0.4</v>
      </c>
      <c r="G231" s="8" t="inlineStr">
        <is>
          <t>2026-10-08</t>
        </is>
      </c>
    </row>
    <row r="232">
      <c r="A232" s="8" t="inlineStr">
        <is>
          <t>test/unit/jsonLogic.test.js</t>
        </is>
      </c>
      <c r="B232" s="8" t="inlineStr">
        <is>
          <t>Unit</t>
        </is>
      </c>
      <c r="C232" s="8" t="n">
        <v>5</v>
      </c>
      <c r="D232" s="8" t="inlineStr">
        <is>
          <t>decision tables: first and collect hit policies, defaults, validation</t>
        </is>
      </c>
      <c r="E232" s="8" t="inlineStr">
        <is>
          <t>Pass</t>
        </is>
      </c>
      <c r="F232" s="8" t="n">
        <v>0.8</v>
      </c>
      <c r="G232" s="8" t="inlineStr">
        <is>
          <t>2026-10-08</t>
        </is>
      </c>
    </row>
    <row r="233">
      <c r="A233" s="8" t="inlineStr">
        <is>
          <t>test/unit/platform.test.js</t>
        </is>
      </c>
      <c r="B233" s="8" t="inlineStr">
        <is>
          <t>Unit</t>
        </is>
      </c>
      <c r="C233" s="8" t="n">
        <v>1</v>
      </c>
      <c r="D233" s="8" t="inlineStr">
        <is>
          <t>field cipher: AES-256-GCM round trip, key rotation, tamper detection</t>
        </is>
      </c>
      <c r="E233" s="8" t="inlineStr">
        <is>
          <t>Pass</t>
        </is>
      </c>
      <c r="F233" s="8" t="n">
        <v>5</v>
      </c>
      <c r="G233" s="8" t="inlineStr">
        <is>
          <t>2026-10-08</t>
        </is>
      </c>
    </row>
    <row r="234">
      <c r="A234" s="8" t="inlineStr">
        <is>
          <t>test/unit/platform.test.js</t>
        </is>
      </c>
      <c r="B234" s="8" t="inlineStr">
        <is>
          <t>Unit</t>
        </is>
      </c>
      <c r="C234" s="8" t="n">
        <v>2</v>
      </c>
      <c r="D234" s="8" t="inlineStr">
        <is>
          <t>blind index, passwords and policy</t>
        </is>
      </c>
      <c r="E234" s="8" t="inlineStr">
        <is>
          <t>Pass</t>
        </is>
      </c>
      <c r="F234" s="8" t="n">
        <v>184.8</v>
      </c>
      <c r="G234" s="8" t="inlineStr">
        <is>
          <t>2026-10-08</t>
        </is>
      </c>
    </row>
    <row r="235">
      <c r="A235" s="8" t="inlineStr">
        <is>
          <t>test/unit/platform.test.js</t>
        </is>
      </c>
      <c r="B235" s="8" t="inlineStr">
        <is>
          <t>Unit</t>
        </is>
      </c>
      <c r="C235" s="8" t="n">
        <v>3</v>
      </c>
      <c r="D235" s="8" t="inlineStr">
        <is>
          <t>JWT: signs, verifies, rejects tampering, alg=none, expiry and wrong audience</t>
        </is>
      </c>
      <c r="E235" s="8" t="inlineStr">
        <is>
          <t>Pass</t>
        </is>
      </c>
      <c r="F235" s="8" t="n">
        <v>1.5</v>
      </c>
      <c r="G235" s="8" t="inlineStr">
        <is>
          <t>2026-10-08</t>
        </is>
      </c>
    </row>
    <row r="236">
      <c r="A236" s="8" t="inlineStr">
        <is>
          <t>test/unit/platform.test.js</t>
        </is>
      </c>
      <c r="B236" s="8" t="inlineStr">
        <is>
          <t>Unit</t>
        </is>
      </c>
      <c r="C236" s="8" t="n">
        <v>4</v>
      </c>
      <c r="D236" s="8" t="inlineStr">
        <is>
          <t>TOTP (RFC 6238) and base32</t>
        </is>
      </c>
      <c r="E236" s="8" t="inlineStr">
        <is>
          <t>Pass</t>
        </is>
      </c>
      <c r="F236" s="8" t="n">
        <v>1.8</v>
      </c>
      <c r="G236" s="8" t="inlineStr">
        <is>
          <t>2026-10-08</t>
        </is>
      </c>
    </row>
    <row r="237">
      <c r="A237" s="8" t="inlineStr">
        <is>
          <t>test/unit/platform.test.js</t>
        </is>
      </c>
      <c r="B237" s="8" t="inlineStr">
        <is>
          <t>Unit</t>
        </is>
      </c>
      <c r="C237" s="8" t="n">
        <v>5</v>
      </c>
      <c r="D237" s="8" t="inlineStr">
        <is>
          <t>validation: allow-list, types, coercion, nested and errors</t>
        </is>
      </c>
      <c r="E237" s="8" t="inlineStr">
        <is>
          <t>Pass</t>
        </is>
      </c>
      <c r="F237" s="8" t="n">
        <v>1.7</v>
      </c>
      <c r="G237" s="8" t="inlineStr">
        <is>
          <t>2026-10-08</t>
        </is>
      </c>
    </row>
    <row r="238">
      <c r="A238" s="8" t="inlineStr">
        <is>
          <t>test/unit/platform.test.js</t>
        </is>
      </c>
      <c r="B238" s="8" t="inlineStr">
        <is>
          <t>Unit</t>
        </is>
      </c>
      <c r="C238" s="8" t="n">
        <v>6</v>
      </c>
      <c r="D238" s="8" t="inlineStr">
        <is>
          <t>circuit breaker: retries, opens, short-circuits, half-opens and recovers</t>
        </is>
      </c>
      <c r="E238" s="8" t="inlineStr">
        <is>
          <t>Pass</t>
        </is>
      </c>
      <c r="F238" s="8" t="n">
        <v>74.7</v>
      </c>
      <c r="G238" s="8" t="inlineStr">
        <is>
          <t>2026-10-08</t>
        </is>
      </c>
    </row>
    <row r="239">
      <c r="A239" s="8" t="inlineStr">
        <is>
          <t>test/unit/platform.test.js</t>
        </is>
      </c>
      <c r="B239" s="8" t="inlineStr">
        <is>
          <t>Unit</t>
        </is>
      </c>
      <c r="C239" s="8" t="n">
        <v>7</v>
      </c>
      <c r="D239" s="8" t="inlineStr">
        <is>
          <t>logger redacts PII and secrets; metrics render Prometheus format</t>
        </is>
      </c>
      <c r="E239" s="8" t="inlineStr">
        <is>
          <t>Pass</t>
        </is>
      </c>
      <c r="F239" s="8" t="n">
        <v>2.2</v>
      </c>
      <c r="G239" s="8" t="inlineStr">
        <is>
          <t>2026-10-08</t>
        </is>
      </c>
    </row>
    <row r="240">
      <c r="A240" s="8" t="inlineStr">
        <is>
          <t>test/unit/platform.test.js</t>
        </is>
      </c>
      <c r="B240" s="8" t="inlineStr">
        <is>
          <t>Unit</t>
        </is>
      </c>
      <c r="C240" s="8" t="n">
        <v>8</v>
      </c>
      <c r="D240" s="8" t="inlineStr">
        <is>
          <t>config: dev defaults, secrets from files, production hard-fails</t>
        </is>
      </c>
      <c r="E240" s="8" t="inlineStr">
        <is>
          <t>Pass</t>
        </is>
      </c>
      <c r="F240" s="8" t="n">
        <v>3.4</v>
      </c>
      <c r="G240" s="8" t="inlineStr">
        <is>
          <t>2026-10-08</t>
        </is>
      </c>
    </row>
    <row r="241">
      <c r="A241" s="8" t="inlineStr">
        <is>
          <t>test/unit/platform.test.js</t>
        </is>
      </c>
      <c r="B241" s="8" t="inlineStr">
        <is>
          <t>Unit</t>
        </is>
      </c>
      <c r="C241" s="8" t="n">
        <v>9</v>
      </c>
      <c r="D241" s="8" t="inlineStr">
        <is>
          <t>errors, util and clock helpers</t>
        </is>
      </c>
      <c r="E241" s="8" t="inlineStr">
        <is>
          <t>Pass</t>
        </is>
      </c>
      <c r="F241" s="8" t="n">
        <v>20.8</v>
      </c>
      <c r="G241" s="8" t="inlineStr">
        <is>
          <t>2026-10-08</t>
        </is>
      </c>
    </row>
    <row r="242">
      <c r="A242" s="8" t="inlineStr">
        <is>
          <t>test/unit/platform.test.js</t>
        </is>
      </c>
      <c r="B242" s="8" t="inlineStr">
        <is>
          <t>Unit</t>
        </is>
      </c>
      <c r="C242" s="8" t="n">
        <v>10</v>
      </c>
      <c r="D242" s="8" t="inlineStr">
        <is>
          <t>migrations match the collection registry (schema drift guard)</t>
        </is>
      </c>
      <c r="E242" s="8" t="inlineStr">
        <is>
          <t>Pass</t>
        </is>
      </c>
      <c r="F242" s="8" t="n">
        <v>1.9</v>
      </c>
      <c r="G242" s="8" t="inlineStr">
        <is>
          <t>2026-10-08</t>
        </is>
      </c>
    </row>
    <row r="243">
      <c r="A243" s="8" t="inlineStr">
        <is>
          <t>test/unit/quickRenewal.test.js</t>
        </is>
      </c>
      <c r="B243" s="8" t="inlineStr">
        <is>
          <t>Unit</t>
        </is>
      </c>
      <c r="C243" s="8" t="n">
        <v>1</v>
      </c>
      <c r="D243" s="8" t="inlineStr">
        <is>
          <t>quick renewal: eligible case offers compulsory TNDS for one year, no reasons</t>
        </is>
      </c>
      <c r="E243" s="8" t="inlineStr">
        <is>
          <t>Pass</t>
        </is>
      </c>
      <c r="F243" s="8" t="n">
        <v>3.1</v>
      </c>
      <c r="G243" s="8" t="inlineStr">
        <is>
          <t>2026-10-08</t>
        </is>
      </c>
    </row>
    <row r="244">
      <c r="A244" s="8" t="inlineStr">
        <is>
          <t>test/unit/quickRenewal.test.js</t>
        </is>
      </c>
      <c r="B244" s="8" t="inlineStr">
        <is>
          <t>Unit</t>
        </is>
      </c>
      <c r="C244" s="8" t="n">
        <v>2</v>
      </c>
      <c r="D244" s="8" t="inlineStr">
        <is>
          <t>quick renewal: configuration from service_levels (defaults off for older rule versions)</t>
        </is>
      </c>
      <c r="E244" s="8" t="inlineStr">
        <is>
          <t>Pass</t>
        </is>
      </c>
      <c r="F244" s="8" t="n">
        <v>0.4</v>
      </c>
      <c r="G244" s="8" t="inlineStr">
        <is>
          <t>2026-10-08</t>
        </is>
      </c>
    </row>
    <row r="245">
      <c r="A245" s="8" t="inlineStr">
        <is>
          <t>test/unit/quickRenewal.test.js</t>
        </is>
      </c>
      <c r="B245" s="8" t="inlineStr">
        <is>
          <t>Unit</t>
        </is>
      </c>
      <c r="C245" s="8" t="n">
        <v>3</v>
      </c>
      <c r="D245" s="8" t="inlineStr">
        <is>
          <t>quick renewal: config disabled means no quick path</t>
        </is>
      </c>
      <c r="E245" s="8" t="inlineStr">
        <is>
          <t>Pass</t>
        </is>
      </c>
      <c r="F245" s="8" t="n">
        <v>0.3</v>
      </c>
      <c r="G245" s="8" t="inlineStr">
        <is>
          <t>2026-10-08</t>
        </is>
      </c>
    </row>
    <row r="246">
      <c r="A246" s="8" t="inlineStr">
        <is>
          <t>test/unit/quickRenewal.test.js</t>
        </is>
      </c>
      <c r="B246" s="8" t="inlineStr">
        <is>
          <t>Unit</t>
        </is>
      </c>
      <c r="C246" s="8" t="n">
        <v>4</v>
      </c>
      <c r="D246" s="8" t="inlineStr">
        <is>
          <t>quick renewal: each ineligible reason, in Vietnamese business language</t>
        </is>
      </c>
      <c r="E246" s="8" t="inlineStr">
        <is>
          <t>Pass</t>
        </is>
      </c>
      <c r="F246" s="8" t="n">
        <v>1.3</v>
      </c>
      <c r="G246" s="8" t="inlineStr">
        <is>
          <t>2026-10-08</t>
        </is>
      </c>
    </row>
    <row r="247">
      <c r="A247" s="8" t="inlineStr">
        <is>
          <t>test/unit/quickRenewal.test.js</t>
        </is>
      </c>
      <c r="B247" s="8" t="inlineStr">
        <is>
          <t>Unit</t>
        </is>
      </c>
      <c r="C247" s="8" t="n">
        <v>5</v>
      </c>
      <c r="D247" s="8" t="inlineStr">
        <is>
          <t>quick renewal: vehicle known from TASCO core, add-ons and term carried over</t>
        </is>
      </c>
      <c r="E247" s="8" t="inlineStr">
        <is>
          <t>Pass</t>
        </is>
      </c>
      <c r="F247" s="8" t="n">
        <v>0.5</v>
      </c>
      <c r="G247" s="8" t="inlineStr">
        <is>
          <t>2026-10-08</t>
        </is>
      </c>
    </row>
    <row r="248">
      <c r="A248" s="8" t="inlineStr">
        <is>
          <t>test/unit/quickRenewal.test.js</t>
        </is>
      </c>
      <c r="B248" s="8" t="inlineStr">
        <is>
          <t>Unit</t>
        </is>
      </c>
      <c r="C248" s="8" t="n">
        <v>6</v>
      </c>
      <c r="D248" s="8" t="inlineStr">
        <is>
          <t>service_levels validation: dsarResponseHours and quickRenewal</t>
        </is>
      </c>
      <c r="E248" s="8" t="inlineStr">
        <is>
          <t>Pass</t>
        </is>
      </c>
      <c r="F248" s="8" t="n">
        <v>3.1</v>
      </c>
      <c r="G248" s="8" t="inlineStr">
        <is>
          <t>2026-10-08</t>
        </is>
      </c>
    </row>
    <row r="249">
      <c r="A249" s="8" t="inlineStr">
        <is>
          <t>test/unit/rulesDomain.test.js</t>
        </is>
      </c>
      <c r="B249" s="8" t="inlineStr">
        <is>
          <t>Unit</t>
        </is>
      </c>
      <c r="C249" s="8" t="n">
        <v>1</v>
      </c>
      <c r="D249" s="8" t="inlineStr">
        <is>
          <t>every shipped default rule set is valid</t>
        </is>
      </c>
      <c r="E249" s="8" t="inlineStr">
        <is>
          <t>Pass</t>
        </is>
      </c>
      <c r="F249" s="8" t="n">
        <v>13.9</v>
      </c>
      <c r="G249" s="8" t="inlineStr">
        <is>
          <t>2026-10-08</t>
        </is>
      </c>
    </row>
    <row r="250">
      <c r="A250" s="8" t="inlineStr">
        <is>
          <t>test/unit/rulesDomain.test.js</t>
        </is>
      </c>
      <c r="B250" s="8" t="inlineStr">
        <is>
          <t>Unit</t>
        </is>
      </c>
      <c r="C250" s="8" t="n">
        <v>2</v>
      </c>
      <c r="D250" s="8" t="inlineStr">
        <is>
          <t>validators reject bad payloads</t>
        </is>
      </c>
      <c r="E250" s="8" t="inlineStr">
        <is>
          <t>Pass</t>
        </is>
      </c>
      <c r="F250" s="8" t="n">
        <v>1.5</v>
      </c>
      <c r="G250" s="8" t="inlineStr">
        <is>
          <t>2026-10-08</t>
        </is>
      </c>
    </row>
    <row r="251">
      <c r="A251" s="8" t="inlineStr">
        <is>
          <t>test/unit/rulesDomain.test.js</t>
        </is>
      </c>
      <c r="B251" s="8" t="inlineStr">
        <is>
          <t>Unit</t>
        </is>
      </c>
      <c r="C251" s="8" t="n">
        <v>3</v>
      </c>
      <c r="D251" s="8" t="inlineStr">
        <is>
          <t>enrichment builds golden profiles with lineage, survivorship and DQ issues</t>
        </is>
      </c>
      <c r="E251" s="8" t="inlineStr">
        <is>
          <t>Pass</t>
        </is>
      </c>
      <c r="F251" s="8" t="n">
        <v>41.2</v>
      </c>
      <c r="G251" s="8" t="inlineStr">
        <is>
          <t>2026-10-08</t>
        </is>
      </c>
    </row>
    <row r="252">
      <c r="A252" s="8" t="inlineStr">
        <is>
          <t>test/unit/rulesDomain.test.js</t>
        </is>
      </c>
      <c r="B252" s="8" t="inlineStr">
        <is>
          <t>Unit</t>
        </is>
      </c>
      <c r="C252" s="8" t="n">
        <v>4</v>
      </c>
      <c r="D252" s="8" t="inlineStr">
        <is>
          <t>expiry inference prefers verified certificates and corroborates</t>
        </is>
      </c>
      <c r="E252" s="8" t="inlineStr">
        <is>
          <t>Pass</t>
        </is>
      </c>
      <c r="F252" s="8" t="n">
        <v>2.6</v>
      </c>
      <c r="G252" s="8" t="inlineStr">
        <is>
          <t>2026-10-08</t>
        </is>
      </c>
    </row>
    <row r="253">
      <c r="A253" s="8" t="inlineStr">
        <is>
          <t>test/unit/rulesDomain.test.js</t>
        </is>
      </c>
      <c r="B253" s="8" t="inlineStr">
        <is>
          <t>Unit</t>
        </is>
      </c>
      <c r="C253" s="8" t="n">
        <v>5</v>
      </c>
      <c r="D253" s="8" t="inlineStr">
        <is>
          <t>vehicle category inference from toll class and seats</t>
        </is>
      </c>
      <c r="E253" s="8" t="inlineStr">
        <is>
          <t>Pass</t>
        </is>
      </c>
      <c r="F253" s="8" t="n">
        <v>1.1</v>
      </c>
      <c r="G253" s="8" t="inlineStr">
        <is>
          <t>2026-10-08</t>
        </is>
      </c>
    </row>
    <row r="254">
      <c r="A254" s="8" t="inlineStr">
        <is>
          <t>test/unit/rulesDomain.test.js</t>
        </is>
      </c>
      <c r="B254" s="8" t="inlineStr">
        <is>
          <t>Unit</t>
        </is>
      </c>
      <c r="C254" s="8" t="n">
        <v>6</v>
      </c>
      <c r="D254" s="8" t="inlineStr">
        <is>
          <t>lead evaluation: TASCO customer expiring soon is a hot renewal for the voice bot</t>
        </is>
      </c>
      <c r="E254" s="8" t="inlineStr">
        <is>
          <t>Pass</t>
        </is>
      </c>
      <c r="F254" s="8" t="n">
        <v>2.7</v>
      </c>
      <c r="G254" s="8" t="inlineStr">
        <is>
          <t>2026-10-08</t>
        </is>
      </c>
    </row>
    <row r="255">
      <c r="A255" s="8" t="inlineStr">
        <is>
          <t>test/unit/rulesDomain.test.js</t>
        </is>
      </c>
      <c r="B255" s="8" t="inlineStr">
        <is>
          <t>Unit</t>
        </is>
      </c>
      <c r="C255" s="8" t="n">
        <v>7</v>
      </c>
      <c r="D255" s="8" t="inlineStr">
        <is>
          <t>lead evaluation: journeys for new business</t>
        </is>
      </c>
      <c r="E255" s="8" t="inlineStr">
        <is>
          <t>Pass</t>
        </is>
      </c>
      <c r="F255" s="8" t="n">
        <v>3.9</v>
      </c>
      <c r="G255" s="8" t="inlineStr">
        <is>
          <t>2026-10-08</t>
        </is>
      </c>
    </row>
    <row r="256">
      <c r="A256" s="8" t="inlineStr">
        <is>
          <t>test/unit/rulesDomain.test.js</t>
        </is>
      </c>
      <c r="B256" s="8" t="inlineStr">
        <is>
          <t>Unit</t>
        </is>
      </c>
      <c r="C256" s="8" t="n">
        <v>8</v>
      </c>
      <c r="D256" s="8" t="inlineStr">
        <is>
          <t>touchpoint planning follows the journey cadence and tier filters</t>
        </is>
      </c>
      <c r="E256" s="8" t="inlineStr">
        <is>
          <t>Pass</t>
        </is>
      </c>
      <c r="F256" s="8" t="n">
        <v>1.4</v>
      </c>
      <c r="G256" s="8" t="inlineStr">
        <is>
          <t>2026-10-08</t>
        </is>
      </c>
    </row>
    <row r="257">
      <c r="A257" s="8" t="inlineStr">
        <is>
          <t>test/unit/rulesDomain.test.js</t>
        </is>
      </c>
      <c r="B257" s="8" t="inlineStr">
        <is>
          <t>Unit</t>
        </is>
      </c>
      <c r="C257" s="8" t="n">
        <v>9</v>
      </c>
      <c r="D257" s="8" t="inlineStr">
        <is>
          <t>benefits: eligibility, legal filter and staff view</t>
        </is>
      </c>
      <c r="E257" s="8" t="inlineStr">
        <is>
          <t>Pass</t>
        </is>
      </c>
      <c r="F257" s="8" t="n">
        <v>0.6</v>
      </c>
      <c r="G257" s="8" t="inlineStr">
        <is>
          <t>2026-10-08</t>
        </is>
      </c>
    </row>
    <row r="258">
      <c r="A258" s="8" t="inlineStr">
        <is>
          <t>test/unit/rulesDomain.test.js</t>
        </is>
      </c>
      <c r="B258" s="8" t="inlineStr">
        <is>
          <t>Unit</t>
        </is>
      </c>
      <c r="C258" s="8" t="n">
        <v>10</v>
      </c>
      <c r="D258" s="8" t="inlineStr">
        <is>
          <t>rating: regulated TNDS tariff, pro-rata multi-year, add-on covers, commission caps</t>
        </is>
      </c>
      <c r="E258" s="8" t="inlineStr">
        <is>
          <t>Pass</t>
        </is>
      </c>
      <c r="F258" s="8" t="n">
        <v>1.9</v>
      </c>
      <c r="G258" s="8" t="inlineStr">
        <is>
          <t>2026-10-08</t>
        </is>
      </c>
    </row>
    <row r="259">
      <c r="A259" s="8" t="inlineStr">
        <is>
          <t>test/unit/rulesDomain.test.js</t>
        </is>
      </c>
      <c r="B259" s="8" t="inlineStr">
        <is>
          <t>Unit</t>
        </is>
      </c>
      <c r="C259" s="8" t="n">
        <v>11</v>
      </c>
      <c r="D259" s="8" t="inlineStr">
        <is>
          <t>contact policy: consent, DNC, quiet hours and frequency caps</t>
        </is>
      </c>
      <c r="E259" s="8" t="inlineStr">
        <is>
          <t>Pass</t>
        </is>
      </c>
      <c r="F259" s="8" t="n">
        <v>2.1</v>
      </c>
      <c r="G259" s="8" t="inlineStr">
        <is>
          <t>2026-10-08</t>
        </is>
      </c>
    </row>
    <row r="260">
      <c r="A260" s="8" t="inlineStr">
        <is>
          <t>test/unit/rulesDomain.test.js</t>
        </is>
      </c>
      <c r="B260" s="8" t="inlineStr">
        <is>
          <t>Unit</t>
        </is>
      </c>
      <c r="C260" s="8" t="n">
        <v>12</v>
      </c>
      <c r="D260" s="8" t="inlineStr">
        <is>
          <t>applyDeclaredExpiry updates evidence and closes DQ gaps</t>
        </is>
      </c>
      <c r="E260" s="8" t="inlineStr">
        <is>
          <t>Pass</t>
        </is>
      </c>
      <c r="F260" s="8" t="n">
        <v>2.5</v>
      </c>
      <c r="G260" s="8" t="inlineStr">
        <is>
          <t>2026-10-08</t>
        </is>
      </c>
    </row>
    <row r="261">
      <c r="A261" s="8" t="inlineStr">
        <is>
          <t>test/unit/stores.test.js</t>
        </is>
      </c>
      <c r="B261" s="8" t="inlineStr">
        <is>
          <t>Unit</t>
        </is>
      </c>
      <c r="C261" s="8" t="n">
        <v>1</v>
      </c>
      <c r="D261" s="8" t="inlineStr">
        <is>
          <t>memory store: CRUD, optimistic locking, filters, sorting, paging</t>
        </is>
      </c>
      <c r="E261" s="8" t="inlineStr">
        <is>
          <t>Pass</t>
        </is>
      </c>
      <c r="F261" s="8" t="n">
        <v>10.6</v>
      </c>
      <c r="G261" s="8" t="inlineStr">
        <is>
          <t>2026-10-08</t>
        </is>
      </c>
    </row>
    <row r="262">
      <c r="A262" s="8" t="inlineStr">
        <is>
          <t>test/unit/stores.test.js</t>
        </is>
      </c>
      <c r="B262" s="8" t="inlineStr">
        <is>
          <t>Unit</t>
        </is>
      </c>
      <c r="C262" s="8" t="n">
        <v>2</v>
      </c>
      <c r="D262" s="8" t="inlineStr">
        <is>
          <t>outbox claim and audit hash chain (tamper evident)</t>
        </is>
      </c>
      <c r="E262" s="8" t="inlineStr">
        <is>
          <t>Pass</t>
        </is>
      </c>
      <c r="F262" s="8" t="n">
        <v>2.1</v>
      </c>
      <c r="G262" s="8" t="inlineStr">
        <is>
          <t>2026-10-08</t>
        </is>
      </c>
    </row>
    <row r="263">
      <c r="A263" s="8" t="inlineStr">
        <is>
          <t>test/unit/stores.test.js</t>
        </is>
      </c>
      <c r="B263" s="8" t="inlineStr">
        <is>
          <t>Unit</t>
        </is>
      </c>
      <c r="C263" s="8" t="n">
        <v>3</v>
      </c>
      <c r="D263" s="8" t="inlineStr">
        <is>
          <t>postgres where-builder produces bind parameters only</t>
        </is>
      </c>
      <c r="E263" s="8" t="inlineStr">
        <is>
          <t>Pass</t>
        </is>
      </c>
      <c r="F263" s="8" t="n">
        <v>0.6</v>
      </c>
      <c r="G263" s="8" t="inlineStr">
        <is>
          <t>2026-10-08</t>
        </is>
      </c>
    </row>
    <row r="264">
      <c r="A264" s="8" t="inlineStr">
        <is>
          <t>test/unit/tascoCoreRatingClient.test.js</t>
        </is>
      </c>
      <c r="B264" s="8" t="inlineStr">
        <is>
          <t>Unit</t>
        </is>
      </c>
      <c r="C264" s="8" t="n">
        <v>1</v>
      </c>
      <c r="D264" s="8" t="inlineStr">
        <is>
          <t>quote: OAuth2 client credentials, cached token, idempotency + tracing headers, no PII sent, response mapped</t>
        </is>
      </c>
      <c r="E264" s="8" t="inlineStr">
        <is>
          <t>Pass</t>
        </is>
      </c>
      <c r="F264" s="8" t="n">
        <v>86.59999999999999</v>
      </c>
      <c r="G264" s="8" t="inlineStr">
        <is>
          <t>2026-10-08</t>
        </is>
      </c>
    </row>
    <row r="265">
      <c r="A265" s="8" t="inlineStr">
        <is>
          <t>test/unit/tascoCoreRatingClient.test.js</t>
        </is>
      </c>
      <c r="B265" s="8" t="inlineStr">
        <is>
          <t>Unit</t>
        </is>
      </c>
      <c r="C265" s="8" t="n">
        <v>2</v>
      </c>
      <c r="D265" s="8" t="inlineStr">
        <is>
          <t>token: refreshed before expiry; 401 drops the cached token and the retry succeeds</t>
        </is>
      </c>
      <c r="E265" s="8" t="inlineStr">
        <is>
          <t>Pass</t>
        </is>
      </c>
      <c r="F265" s="8" t="n">
        <v>44.4</v>
      </c>
      <c r="G265" s="8" t="inlineStr">
        <is>
          <t>2026-10-08</t>
        </is>
      </c>
    </row>
    <row r="266">
      <c r="A266" s="8" t="inlineStr">
        <is>
          <t>test/unit/tascoCoreRatingClient.test.js</t>
        </is>
      </c>
      <c r="B266" s="8" t="inlineStr">
        <is>
          <t>Unit</t>
        </is>
      </c>
      <c r="C266" s="8" t="n">
        <v>3</v>
      </c>
      <c r="D266" s="8" t="inlineStr">
        <is>
          <t>core business errors map to platform errors, are not retried and do not open the circuit</t>
        </is>
      </c>
      <c r="E266" s="8" t="inlineStr">
        <is>
          <t>Pass</t>
        </is>
      </c>
      <c r="F266" s="8" t="n">
        <v>40.1</v>
      </c>
      <c r="G266" s="8" t="inlineStr">
        <is>
          <t>2026-10-08</t>
        </is>
      </c>
    </row>
    <row r="267">
      <c r="A267" s="8" t="inlineStr">
        <is>
          <t>test/unit/tascoCoreRatingClient.test.js</t>
        </is>
      </c>
      <c r="B267" s="8" t="inlineStr">
        <is>
          <t>Unit</t>
        </is>
      </c>
      <c r="C267" s="8" t="n">
        <v>4</v>
      </c>
      <c r="D267" s="8" t="inlineStr">
        <is>
          <t>5xx and 429 are retried, then surface as upstream-unavailable; repeated failure opens the circuit</t>
        </is>
      </c>
      <c r="E267" s="8" t="inlineStr">
        <is>
          <t>Pass</t>
        </is>
      </c>
      <c r="F267" s="8" t="n">
        <v>24</v>
      </c>
      <c r="G267" s="8" t="inlineStr">
        <is>
          <t>2026-10-08</t>
        </is>
      </c>
    </row>
    <row r="268">
      <c r="A268" s="8" t="inlineStr">
        <is>
          <t>test/unit/tascoCoreRatingClient.test.js</t>
        </is>
      </c>
      <c r="B268" s="8" t="inlineStr">
        <is>
          <t>Unit</t>
        </is>
      </c>
      <c r="C268" s="8" t="n">
        <v>5</v>
      </c>
      <c r="D268" s="8" t="inlineStr">
        <is>
          <t>timeouts, unreachable core and token failures are upstream-unavailable with a reason</t>
        </is>
      </c>
      <c r="E268" s="8" t="inlineStr">
        <is>
          <t>Pass</t>
        </is>
      </c>
      <c r="F268" s="8" t="n">
        <v>70.2</v>
      </c>
      <c r="G268" s="8" t="inlineStr">
        <is>
          <t>2026-10-08</t>
        </is>
      </c>
    </row>
    <row r="269">
      <c r="A269" s="8" t="inlineStr">
        <is>
          <t>test/unit/tascoCoreRatingClient.test.js</t>
        </is>
      </c>
      <c r="B269" s="8" t="inlineStr">
        <is>
          <t>Unit</t>
        </is>
      </c>
      <c r="C269" s="8" t="n">
        <v>6</v>
      </c>
      <c r="D269" s="8" t="inlineStr">
        <is>
          <t>response schema validation: contract violations are rejected</t>
        </is>
      </c>
      <c r="E269" s="8" t="inlineStr">
        <is>
          <t>Pass</t>
        </is>
      </c>
      <c r="F269" s="8" t="n">
        <v>25.6</v>
      </c>
      <c r="G269" s="8" t="inlineStr">
        <is>
          <t>2026-10-08</t>
        </is>
      </c>
    </row>
    <row r="270">
      <c r="A270" s="8" t="inlineStr">
        <is>
          <t>test/unit/tascoCoreRatingClient.test.js</t>
        </is>
      </c>
      <c r="B270" s="8" t="inlineStr">
        <is>
          <t>Unit</t>
        </is>
      </c>
      <c r="C270" s="8" t="n">
        <v>7</v>
      </c>
      <c r="D270" s="8" t="inlineStr">
        <is>
          <t>catalogue: fetched, validated, tolerant of new fields, duplicates rejected</t>
        </is>
      </c>
      <c r="E270" s="8" t="inlineStr">
        <is>
          <t>Pass</t>
        </is>
      </c>
      <c r="F270" s="8" t="n">
        <v>7</v>
      </c>
      <c r="G270" s="8" t="inlineStr">
        <is>
          <t>2026-10-08</t>
        </is>
      </c>
    </row>
    <row r="271">
      <c r="A271" s="8" t="inlineStr">
        <is>
          <t>test/unit/tascoCoreRatingClient.test.js</t>
        </is>
      </c>
      <c r="B271" s="8" t="inlineStr">
        <is>
          <t>Unit</t>
        </is>
      </c>
      <c r="C271" s="8" t="n">
        <v>8</v>
      </c>
      <c r="D271" s="8" t="inlineStr">
        <is>
          <t>mapCoreError fallbacks and constructor guard</t>
        </is>
      </c>
      <c r="E271" s="8" t="inlineStr">
        <is>
          <t>Pass</t>
        </is>
      </c>
      <c r="F271" s="8" t="n">
        <v>0.9</v>
      </c>
      <c r="G271" s="8" t="inlineStr">
        <is>
          <t>2026-10-08</t>
        </is>
      </c>
    </row>
    <row r="272">
      <c r="A272" s="8" t="inlineStr">
        <is>
          <t>test/unit/voicebot.test.js</t>
        </is>
      </c>
      <c r="B272" s="8" t="inlineStr">
        <is>
          <t>Unit</t>
        </is>
      </c>
      <c r="C272" s="8" t="n">
        <v>1</v>
      </c>
      <c r="D272" s="8" t="inlineStr">
        <is>
          <t>bot discloses automation and never asks for OTP/payment, and masks the plate</t>
        </is>
      </c>
      <c r="E272" s="8" t="inlineStr">
        <is>
          <t>Pass</t>
        </is>
      </c>
      <c r="F272" s="8" t="n">
        <v>23.3</v>
      </c>
      <c r="G272" s="8" t="inlineStr">
        <is>
          <t>2026-10-08</t>
        </is>
      </c>
    </row>
    <row r="273">
      <c r="A273" s="8" t="inlineStr">
        <is>
          <t>test/unit/voicebot.test.js</t>
        </is>
      </c>
      <c r="B273" s="8" t="inlineStr">
        <is>
          <t>Unit</t>
        </is>
      </c>
      <c r="C273" s="8" t="n">
        <v>2</v>
      </c>
      <c r="D273" s="8" t="inlineStr">
        <is>
          <t>happy path: plate first, confirm, buy → hot handoff</t>
        </is>
      </c>
      <c r="E273" s="8" t="inlineStr">
        <is>
          <t>Pass</t>
        </is>
      </c>
      <c r="F273" s="8" t="n">
        <v>1.9</v>
      </c>
      <c r="G273" s="8" t="inlineStr">
        <is>
          <t>2026-10-08</t>
        </is>
      </c>
    </row>
    <row r="274">
      <c r="A274" s="8" t="inlineStr">
        <is>
          <t>test/unit/voicebot.test.js</t>
        </is>
      </c>
      <c r="B274" s="8" t="inlineStr">
        <is>
          <t>Unit</t>
        </is>
      </c>
      <c r="C274" s="8" t="n">
        <v>3</v>
      </c>
      <c r="D274" s="8" t="inlineStr">
        <is>
          <t>buy intent at expiry confirmation hands off immediately</t>
        </is>
      </c>
      <c r="E274" s="8" t="inlineStr">
        <is>
          <t>Pass</t>
        </is>
      </c>
      <c r="F274" s="8" t="n">
        <v>0.5</v>
      </c>
      <c r="G274" s="8" t="inlineStr">
        <is>
          <t>2026-10-08</t>
        </is>
      </c>
    </row>
    <row r="275">
      <c r="A275" s="8" t="inlineStr">
        <is>
          <t>test/unit/voicebot.test.js</t>
        </is>
      </c>
      <c r="B275" s="8" t="inlineStr">
        <is>
          <t>Unit</t>
        </is>
      </c>
      <c r="C275" s="8" t="n">
        <v>4</v>
      </c>
      <c r="D275" s="8" t="inlineStr">
        <is>
          <t>wrong plate ends the call to protect privacy</t>
        </is>
      </c>
      <c r="E275" s="8" t="inlineStr">
        <is>
          <t>Pass</t>
        </is>
      </c>
      <c r="F275" s="8" t="n">
        <v>0.6</v>
      </c>
      <c r="G275" s="8" t="inlineStr">
        <is>
          <t>2026-10-08</t>
        </is>
      </c>
    </row>
    <row r="276">
      <c r="A276" s="8" t="inlineStr">
        <is>
          <t>test/unit/voicebot.test.js</t>
        </is>
      </c>
      <c r="B276" s="8" t="inlineStr">
        <is>
          <t>Unit</t>
        </is>
      </c>
      <c r="C276" s="8" t="n">
        <v>5</v>
      </c>
      <c r="D276" s="8" t="inlineStr">
        <is>
          <t>unclear plate retries then gives up</t>
        </is>
      </c>
      <c r="E276" s="8" t="inlineStr">
        <is>
          <t>Pass</t>
        </is>
      </c>
      <c r="F276" s="8" t="n">
        <v>0.8</v>
      </c>
      <c r="G276" s="8" t="inlineStr">
        <is>
          <t>2026-10-08</t>
        </is>
      </c>
    </row>
    <row r="277">
      <c r="A277" s="8" t="inlineStr">
        <is>
          <t>test/unit/voicebot.test.js</t>
        </is>
      </c>
      <c r="B277" s="8" t="inlineStr">
        <is>
          <t>Unit</t>
        </is>
      </c>
      <c r="C277" s="8" t="n">
        <v>6</v>
      </c>
      <c r="D277" s="8" t="inlineStr">
        <is>
          <t>trust concern is answered and the call continues to the offer</t>
        </is>
      </c>
      <c r="E277" s="8" t="inlineStr">
        <is>
          <t>Pass</t>
        </is>
      </c>
      <c r="F277" s="8" t="n">
        <v>0.5</v>
      </c>
      <c r="G277" s="8" t="inlineStr">
        <is>
          <t>2026-10-08</t>
        </is>
      </c>
    </row>
    <row r="278">
      <c r="A278" s="8" t="inlineStr">
        <is>
          <t>test/unit/voicebot.test.js</t>
        </is>
      </c>
      <c r="B278" s="8" t="inlineStr">
        <is>
          <t>Unit</t>
        </is>
      </c>
      <c r="C278" s="8" t="n">
        <v>7</v>
      </c>
      <c r="D278" s="8" t="inlineStr">
        <is>
          <t>price question gets a truthful regulated-price answer, then link</t>
        </is>
      </c>
      <c r="E278" s="8" t="inlineStr">
        <is>
          <t>Pass</t>
        </is>
      </c>
      <c r="F278" s="8" t="n">
        <v>2.4</v>
      </c>
      <c r="G278" s="8" t="inlineStr">
        <is>
          <t>2026-10-08</t>
        </is>
      </c>
    </row>
    <row r="279">
      <c r="A279" s="8" t="inlineStr">
        <is>
          <t>test/unit/voicebot.test.js</t>
        </is>
      </c>
      <c r="B279" s="8" t="inlineStr">
        <is>
          <t>Unit</t>
        </is>
      </c>
      <c r="C279" s="8" t="n">
        <v>8</v>
      </c>
      <c r="D279" s="8" t="inlineStr">
        <is>
          <t>benefits, price in offer, clarification fallback, refusal</t>
        </is>
      </c>
      <c r="E279" s="8" t="inlineStr">
        <is>
          <t>Pass</t>
        </is>
      </c>
      <c r="F279" s="8" t="n">
        <v>1.1</v>
      </c>
      <c r="G279" s="8" t="inlineStr">
        <is>
          <t>2026-10-08</t>
        </is>
      </c>
    </row>
    <row r="280">
      <c r="A280" s="8" t="inlineStr">
        <is>
          <t>test/unit/voicebot.test.js</t>
        </is>
      </c>
      <c r="B280" s="8" t="inlineStr">
        <is>
          <t>Unit</t>
        </is>
      </c>
      <c r="C280" s="8" t="n">
        <v>9</v>
      </c>
      <c r="D280" s="8" t="inlineStr">
        <is>
          <t>already renewed captures competitor info (data repair)</t>
        </is>
      </c>
      <c r="E280" s="8" t="inlineStr">
        <is>
          <t>Pass</t>
        </is>
      </c>
      <c r="F280" s="8" t="n">
        <v>1.1</v>
      </c>
      <c r="G280" s="8" t="inlineStr">
        <is>
          <t>2026-10-08</t>
        </is>
      </c>
    </row>
    <row r="281">
      <c r="A281" s="8" t="inlineStr">
        <is>
          <t>test/unit/voicebot.test.js</t>
        </is>
      </c>
      <c r="B281" s="8" t="inlineStr">
        <is>
          <t>Unit</t>
        </is>
      </c>
      <c r="C281" s="8" t="n">
        <v>10</v>
      </c>
      <c r="D281" s="8" t="inlineStr">
        <is>
          <t>opt-out, wrong person and callback are honoured at any point</t>
        </is>
      </c>
      <c r="E281" s="8" t="inlineStr">
        <is>
          <t>Pass</t>
        </is>
      </c>
      <c r="F281" s="8" t="n">
        <v>0.9</v>
      </c>
      <c r="G281" s="8" t="inlineStr">
        <is>
          <t>2026-10-08</t>
        </is>
      </c>
    </row>
    <row r="282">
      <c r="A282" s="8" t="inlineStr">
        <is>
          <t>test/unit/voicebot.test.js</t>
        </is>
      </c>
      <c r="B282" s="8" t="inlineStr">
        <is>
          <t>Unit</t>
        </is>
      </c>
      <c r="C282" s="8" t="n">
        <v>11</v>
      </c>
      <c r="D282" s="8" t="inlineStr">
        <is>
          <t>unknown and lapsed expiry use the right script lines</t>
        </is>
      </c>
      <c r="E282" s="8" t="inlineStr">
        <is>
          <t>Pass</t>
        </is>
      </c>
      <c r="F282" s="8" t="n">
        <v>1.4</v>
      </c>
      <c r="G282" s="8" t="inlineStr">
        <is>
          <t>2026-10-08</t>
        </is>
      </c>
    </row>
  </sheetData>
  <autoFilter ref="A3:G282"/>
  <conditionalFormatting sqref="E4:E282">
    <cfRule type="cellIs" priority="1" operator="equal" dxfId="0">
      <formula>"Pass"</formula>
    </cfRule>
    <cfRule type="cellIs" priority="2" operator="equal" dxfId="1">
      <formula>"Fail"</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showGridLines="0" workbookViewId="0">
      <selection activeCell="A1" sqref="A1"/>
    </sheetView>
  </sheetViews>
  <sheetFormatPr baseColWidth="8" defaultRowHeight="15"/>
  <cols>
    <col width="30" customWidth="1" min="1" max="1"/>
    <col width="120" customWidth="1" min="2" max="2"/>
  </cols>
  <sheetData>
    <row r="1">
      <c r="A1" s="1" t="inlineStr">
        <is>
          <t>How to read this workbook</t>
        </is>
      </c>
    </row>
    <row r="3">
      <c r="A3" s="10" t="inlineStr">
        <is>
          <t>Pass</t>
        </is>
      </c>
      <c r="B3" s="8" t="inlineStr">
        <is>
          <t>The automated suite that hosts the case ran in this execution with zero failures (see "Automated Run" for each individual test). The QA lead confirms per-case assertion coverage at each release.</t>
        </is>
      </c>
    </row>
    <row r="4">
      <c r="A4" s="10" t="inlineStr">
        <is>
          <t>Fail</t>
        </is>
      </c>
      <c r="B4" s="8" t="inlineStr">
        <is>
          <t>The hosting automated suite reported at least one failure in this run.</t>
        </is>
      </c>
    </row>
    <row r="5">
      <c r="A5" s="10" t="inlineStr">
        <is>
          <t>Blocked</t>
        </is>
      </c>
      <c r="B5" s="8" t="inlineStr">
        <is>
          <t>The expected result depends on a known issue (KI-xx in the test strategy register) that is still open.</t>
        </is>
      </c>
    </row>
    <row r="6">
      <c r="A6" s="10" t="inlineStr">
        <is>
          <t>Not Run</t>
        </is>
      </c>
      <c r="B6" s="8" t="inlineStr">
        <is>
          <t>SIT, UAT, NFT/DR or manual case that needs production integrations, business users or a scheduled test window. Update Status, Actual Result, Executed On/By when executed.</t>
        </is>
      </c>
    </row>
    <row r="7">
      <c r="A7" s="10" t="inlineStr">
        <is>
          <t>Pre-conditions / Test Conditions</t>
        </is>
      </c>
      <c r="B7" s="8" t="inlineStr">
        <is>
          <t>Data, user role and system state required before the steps. Demo users are listed in the separate access workbook (credentials are not stored here).</t>
        </is>
      </c>
    </row>
    <row r="8">
      <c r="A8" s="10" t="inlineStr">
        <is>
          <t>Functional Test Cases</t>
        </is>
      </c>
      <c r="B8" s="8" t="inlineStr">
        <is>
          <t>Business scenarios from the user stories (docs/business/04): Given = pre-conditions, When = steps, Then = expected result. Every scenario is executed by test/functional/*.test.js against the real API; 3 scenarios are UI/physical checks or roadmap items and stay Not Run until UAT.</t>
        </is>
      </c>
    </row>
    <row r="9">
      <c r="A9" s="10" t="inlineStr">
        <is>
          <t>Source</t>
        </is>
      </c>
      <c r="B9" s="8" t="inlineStr">
        <is>
          <t>Cases come from docs/quality/test-case-catalogue (164 cases, TC-001 – TC-164); automated results from test/unit, test/integration, test/api, test/security, test/pg and test/perf.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2026-10-08T03:50:09Z</dcterms:created>
  <dcterms:modified xmlns:dcterms="http://purl.org/dc/terms/" xmlns:xsi="http://www.w3.org/2001/XMLSchema-instance" xsi:type="dcterms:W3CDTF">2026-10-08T03:50:10Z</dcterms:modified>
</cp:coreProperties>
</file>